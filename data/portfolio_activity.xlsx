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40693DA3-71AC-476D-BA65-BB3F15A94400}" xr6:coauthVersionLast="47" xr6:coauthVersionMax="47" xr10:uidLastSave="{00000000-0000-0000-0000-000000000000}"/>
  <bookViews>
    <workbookView xWindow="-120" yWindow="-120" windowWidth="29040" windowHeight="15720" activeTab="1" xr2:uid="{22981F44-200C-FA48-B0C7-1CB3C862DEAA}"/>
  </bookViews>
  <sheets>
    <sheet name="logs" sheetId="1" r:id="rId1"/>
    <sheet name="current" sheetId="2" r:id="rId2"/>
  </sheets>
  <definedNames>
    <definedName name="_xlnm._FilterDatabase" localSheetId="1" hidden="1">current!#REF!</definedName>
    <definedName name="_xlnm._FilterDatabase" localSheetId="0" hidden="1">logs!$A$1:$F$127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E115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<sst xmlns="http://schemas.openxmlformats.org/spreadsheetml/2006/main" count="292" uniqueCount="60">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</sst>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;@"/>
    <numFmt numFmtId="165" formatCode="0.000"/>
    <numFmt numFmtId="166" formatCode="_(* #,##0.000_);_(* \(#,##0.000\);_(* &quot;-&quot;??_);_(@_)"/>
    <numFmt numFmtId="167" formatCode="_(* #,##0.0000_);_(* \(#,##0.0000\);_(* &quot;-&quot;??_);_(@_)"/>
    <numFmt numFmtId="174" formatCode="0.0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7" fontId="0" fillId="0" borderId="0" xfId="1" applyNumberFormat="1" applyFont="1" applyAlignment="1">
      <alignment horizontal="right"/>
    </xf>
    <xf numFmtId="166" fontId="0" fillId="0" borderId="0" xfId="0" applyNumberFormat="1"/>
    <xf numFmtId="174" fontId="0" fillId="0" borderId="0" xfId="0" applyNumberForma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sheetPr filterMode="1"/>
  <dimension ref="A1:F128"/>
  <sheetViews>
    <sheetView zoomScaleNormal="100" workbookViewId="0">
      <pane ySplit="1" topLeftCell="A7" activePane="bottomLeft" state="frozen"/>
      <selection pane="bottomLeft" activeCell="D133" sqref="D133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hidden="1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hidden="1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hidden="1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hidden="1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hidden="1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hidden="1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hidden="1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hidden="1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hidden="1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hidden="1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hidden="1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9">
        <f t="shared" si="0"/>
        <v>3.9495001383016558E-2</v>
      </c>
      <c r="F13" s="2" t="s">
        <v>7</v>
      </c>
    </row>
    <row r="14" spans="1:6" hidden="1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hidden="1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hidden="1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hidden="1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hidden="1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hidden="1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hidden="1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hidden="1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hidden="1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hidden="1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hidden="1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hidden="1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hidden="1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hidden="1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hidden="1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hidden="1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hidden="1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hidden="1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hidden="1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hidden="1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hidden="1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hidden="1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hidden="1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hidden="1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hidden="1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hidden="1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hidden="1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hidden="1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hidden="1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hidden="1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hidden="1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hidden="1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hidden="1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hidden="1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hidden="1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hidden="1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hidden="1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hidden="1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hidden="1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hidden="1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hidden="1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hidden="1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hidden="1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hidden="1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hidden="1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hidden="1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hidden="1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hidden="1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hidden="1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hidden="1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hidden="1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hidden="1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hidden="1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hidden="1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hidden="1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hidden="1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hidden="1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hidden="1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hidden="1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hidden="1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hidden="1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hidden="1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hidden="1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hidden="1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hidden="1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hidden="1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hidden="1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hidden="1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hidden="1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hidden="1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hidden="1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hidden="1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hidden="1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9">
        <v>0.96050999999999997</v>
      </c>
      <c r="F87" s="2" t="s">
        <v>7</v>
      </c>
    </row>
    <row r="88" spans="1:6" hidden="1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hidden="1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hidden="1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hidden="1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hidden="1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hidden="1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hidden="1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hidden="1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hidden="1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hidden="1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hidden="1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hidden="1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hidden="1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hidden="1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hidden="1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hidden="1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hidden="1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hidden="1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hidden="1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hidden="1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hidden="1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hidden="1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hidden="1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hidden="1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hidden="1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hidden="1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hidden="1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hidden="1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hidden="1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hidden="1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hidden="1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hidden="1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hidden="1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hidden="1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hidden="1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hidden="1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hidden="1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hidden="1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hidden="1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hidden="1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</sheetData>
  <autoFilter ref="A1:F127" xr:uid="{64184D08-D91B-1043-AEE3-17C45FED0F30}">
    <filterColumn colId="1">
      <filters>
        <filter val="SPY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B80C-EA19-4ACD-BFC2-2521030D6707}">
  <dimension ref="A1:G15"/>
  <sheetViews>
    <sheetView tabSelected="1" workbookViewId="0">
      <selection activeCell="F22" sqref="F22"/>
    </sheetView>
  </sheetViews>
  <sheetFormatPr defaultRowHeight="15.75" x14ac:dyDescent="0.25"/>
  <cols>
    <col min="2" max="2" width="11.875" style="7" bestFit="1" customWidth="1"/>
  </cols>
  <sheetData>
    <row r="1" spans="1:7" x14ac:dyDescent="0.25">
      <c r="A1" t="s">
        <v>1</v>
      </c>
      <c r="B1" s="7" t="s">
        <v>4</v>
      </c>
      <c r="D1" t="s">
        <v>59</v>
      </c>
      <c r="E1" t="s">
        <v>4</v>
      </c>
    </row>
    <row r="2" spans="1:7" x14ac:dyDescent="0.25">
      <c r="A2" t="s">
        <v>16</v>
      </c>
      <c r="B2" s="7">
        <v>73.045047841790193</v>
      </c>
      <c r="D2" t="s">
        <v>16</v>
      </c>
      <c r="E2">
        <v>73.049850000000006</v>
      </c>
      <c r="G2" s="8">
        <f>E2-B2</f>
        <v>4.8021582098130011E-3</v>
      </c>
    </row>
    <row r="3" spans="1:7" x14ac:dyDescent="0.25">
      <c r="A3" t="s">
        <v>13</v>
      </c>
      <c r="B3" s="7">
        <v>20.095474685434699</v>
      </c>
      <c r="D3" t="s">
        <v>13</v>
      </c>
      <c r="E3">
        <v>20.093769999999999</v>
      </c>
      <c r="G3" s="8">
        <f t="shared" ref="G3:G15" si="0">E3-B3</f>
        <v>-1.7046854346993712E-3</v>
      </c>
    </row>
    <row r="4" spans="1:7" x14ac:dyDescent="0.25">
      <c r="A4" t="s">
        <v>53</v>
      </c>
      <c r="B4" s="7">
        <v>13.89</v>
      </c>
      <c r="D4" t="s">
        <v>53</v>
      </c>
      <c r="E4">
        <v>13.9215</v>
      </c>
      <c r="G4" s="8">
        <f t="shared" si="0"/>
        <v>3.1499999999999417E-2</v>
      </c>
    </row>
    <row r="5" spans="1:7" x14ac:dyDescent="0.25">
      <c r="A5" t="s">
        <v>33</v>
      </c>
      <c r="B5" s="7">
        <v>10.8173189029906</v>
      </c>
      <c r="D5" t="s">
        <v>33</v>
      </c>
      <c r="E5">
        <v>10.81081</v>
      </c>
      <c r="G5" s="8">
        <f t="shared" si="0"/>
        <v>-6.5089029905998075E-3</v>
      </c>
    </row>
    <row r="6" spans="1:7" x14ac:dyDescent="0.25">
      <c r="A6" t="s">
        <v>34</v>
      </c>
      <c r="B6" s="7">
        <v>10.290471281296</v>
      </c>
      <c r="D6" t="s">
        <v>34</v>
      </c>
      <c r="E6">
        <v>10.297129999999999</v>
      </c>
      <c r="G6" s="8">
        <f t="shared" si="0"/>
        <v>6.6587187039992557E-3</v>
      </c>
    </row>
    <row r="7" spans="1:7" x14ac:dyDescent="0.25">
      <c r="A7" t="s">
        <v>52</v>
      </c>
      <c r="B7" s="7">
        <v>8.7899999999999991</v>
      </c>
      <c r="D7" t="s">
        <v>52</v>
      </c>
      <c r="E7">
        <v>8.8120799999999999</v>
      </c>
      <c r="G7" s="8">
        <f t="shared" si="0"/>
        <v>2.2080000000000766E-2</v>
      </c>
    </row>
    <row r="8" spans="1:7" x14ac:dyDescent="0.25">
      <c r="A8" t="s">
        <v>56</v>
      </c>
      <c r="B8" s="7">
        <v>5.71</v>
      </c>
      <c r="D8" t="s">
        <v>56</v>
      </c>
      <c r="E8">
        <v>5.7142799999999996</v>
      </c>
      <c r="G8" s="8">
        <f t="shared" si="0"/>
        <v>4.2799999999996174E-3</v>
      </c>
    </row>
    <row r="9" spans="1:7" x14ac:dyDescent="0.25">
      <c r="A9" t="s">
        <v>57</v>
      </c>
      <c r="B9" s="7">
        <v>3.6</v>
      </c>
      <c r="D9" t="s">
        <v>57</v>
      </c>
      <c r="E9">
        <v>3.60785</v>
      </c>
      <c r="G9" s="8">
        <f t="shared" si="0"/>
        <v>7.8499999999999126E-3</v>
      </c>
    </row>
    <row r="10" spans="1:7" x14ac:dyDescent="0.25">
      <c r="A10" t="s">
        <v>58</v>
      </c>
      <c r="B10" s="7">
        <v>3</v>
      </c>
      <c r="D10" t="s">
        <v>58</v>
      </c>
      <c r="E10">
        <v>3</v>
      </c>
      <c r="G10" s="8">
        <f t="shared" si="0"/>
        <v>0</v>
      </c>
    </row>
    <row r="11" spans="1:7" x14ac:dyDescent="0.25">
      <c r="A11" t="s">
        <v>21</v>
      </c>
      <c r="B11" s="7">
        <v>1.9977277643522</v>
      </c>
      <c r="D11" t="s">
        <v>21</v>
      </c>
      <c r="E11">
        <v>2.0009399999999999</v>
      </c>
      <c r="G11" s="8">
        <f t="shared" si="0"/>
        <v>3.2122356477999325E-3</v>
      </c>
    </row>
    <row r="12" spans="1:7" x14ac:dyDescent="0.25">
      <c r="A12" t="s">
        <v>27</v>
      </c>
      <c r="B12" s="7">
        <v>1.7799542444927501</v>
      </c>
      <c r="D12" t="s">
        <v>27</v>
      </c>
      <c r="E12">
        <v>1.7799400000000001</v>
      </c>
      <c r="G12" s="8">
        <f t="shared" si="0"/>
        <v>-1.4244492750004056E-5</v>
      </c>
    </row>
    <row r="13" spans="1:7" x14ac:dyDescent="0.25">
      <c r="A13" t="s">
        <v>18</v>
      </c>
      <c r="B13" s="7">
        <v>1.00000500138302</v>
      </c>
      <c r="D13" t="s">
        <v>12</v>
      </c>
      <c r="E13">
        <v>1.50752</v>
      </c>
      <c r="G13" s="8">
        <f t="shared" si="0"/>
        <v>0.50751499861698002</v>
      </c>
    </row>
    <row r="14" spans="1:7" x14ac:dyDescent="0.25">
      <c r="A14" t="s">
        <v>55</v>
      </c>
      <c r="B14" s="7">
        <v>1</v>
      </c>
      <c r="D14" t="s">
        <v>18</v>
      </c>
      <c r="E14">
        <v>1.0013399999999999</v>
      </c>
      <c r="G14" s="8">
        <f t="shared" si="0"/>
        <v>1.3399999999998968E-3</v>
      </c>
    </row>
    <row r="15" spans="1:7" x14ac:dyDescent="0.25">
      <c r="A15" t="s">
        <v>12</v>
      </c>
      <c r="B15" s="7">
        <v>0.773338109298358</v>
      </c>
      <c r="D15" t="s">
        <v>55</v>
      </c>
      <c r="E15">
        <v>1</v>
      </c>
      <c r="G15" s="8">
        <f t="shared" si="0"/>
        <v>0.226661890701642</v>
      </c>
    </row>
  </sheetData>
  <sortState xmlns:xlrd2="http://schemas.microsoft.com/office/spreadsheetml/2017/richdata2" ref="A2:B15">
    <sortCondition descending="1" ref="B2:B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logs</vt:lpstr>
      <vt:lpstr>current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2026-03-05T21:08:49Z</dcterms:modified>
  <cp:category/>
  <cp:contentStatus/>
</cp:coreProperties>
</file>