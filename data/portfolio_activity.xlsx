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001\work_desktop\_personal\finance_portfolio\data\"/>
    </mc:Choice>
  </mc:AlternateContent>
  <xr:revisionPtr revIDLastSave="0" documentId="13_ncr:1_{F80A03F6-483A-4AB8-89F2-7B75AAD5261B}" xr6:coauthVersionLast="47" xr6:coauthVersionMax="47" xr10:uidLastSave="{00000000-0000-0000-0000-000000000000}"/>
  <bookViews>
    <workbookView xWindow="-105" yWindow="0" windowWidth="14610" windowHeight="15585" xr2:uid="{22981F44-200C-FA48-B0C7-1CB3C862DEAA}"/>
  </bookViews>
  <sheets>
    <sheet name="new_logs" sheetId="2" r:id="rId1"/>
    <sheet name="logs" sheetId="1" r:id="rId2"/>
  </sheets>
  <definedNames>
    <definedName name="_xlnm._FilterDatabase" localSheetId="1" hidden="1">logs!$A$1:$F$155</definedName>
    <definedName name="_xlnm._FilterDatabase" localSheetId="0" hidden="1">new_logs!$A$1:$F$168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8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3" i="2"/>
  <c r="E112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E70" i="1"/>
  <c r="C147" i="1"/>
  <c r="E117" i="1"/>
  <c r="E39" i="1"/>
  <c r="E40" i="1"/>
  <c r="E41" i="1"/>
  <c r="E43" i="1"/>
  <c r="E42" i="1"/>
  <c r="E45" i="1"/>
  <c r="E44" i="1"/>
  <c r="E47" i="1"/>
  <c r="E46" i="1"/>
  <c r="E51" i="1"/>
  <c r="E48" i="1"/>
  <c r="E49" i="1"/>
  <c r="E50" i="1"/>
  <c r="E56" i="1"/>
  <c r="E52" i="1"/>
  <c r="E57" i="1"/>
  <c r="E54" i="1"/>
  <c r="E55" i="1"/>
  <c r="E53" i="1"/>
  <c r="E59" i="1"/>
  <c r="E58" i="1"/>
  <c r="E60" i="1"/>
  <c r="E62" i="1"/>
  <c r="E61" i="1"/>
  <c r="E63" i="1"/>
  <c r="E64" i="1"/>
  <c r="E65" i="1"/>
  <c r="E66" i="1"/>
  <c r="E6" i="1"/>
  <c r="E7" i="1"/>
  <c r="E8" i="1"/>
  <c r="E2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" i="1"/>
  <c r="E5" i="1"/>
  <c r="E3" i="1"/>
</calcChain>
</file>

<file path=xl/sharedStrings.xml><?xml version="1.0" encoding="utf-8"?>
<sst xmlns="http://schemas.openxmlformats.org/spreadsheetml/2006/main" count="692" uniqueCount="72">
  <si>
    <t>date</t>
  </si>
  <si>
    <t>symbol</t>
  </si>
  <si>
    <t>amount</t>
  </si>
  <si>
    <t>price</t>
  </si>
  <si>
    <t>quantity</t>
  </si>
  <si>
    <t>type</t>
  </si>
  <si>
    <t>IBIT</t>
  </si>
  <si>
    <t>buy</t>
  </si>
  <si>
    <t>ETHA</t>
  </si>
  <si>
    <t>VTI</t>
  </si>
  <si>
    <t>GLD</t>
  </si>
  <si>
    <t>RBLX</t>
  </si>
  <si>
    <t>SPY</t>
  </si>
  <si>
    <t>EQX</t>
  </si>
  <si>
    <t>BMNR</t>
  </si>
  <si>
    <t>AMDY</t>
  </si>
  <si>
    <t>OPEN</t>
  </si>
  <si>
    <t>TSLA</t>
  </si>
  <si>
    <t>MSFT</t>
  </si>
  <si>
    <t>META</t>
  </si>
  <si>
    <t>AAPL</t>
  </si>
  <si>
    <t>GOOGL</t>
  </si>
  <si>
    <t>AMZN</t>
  </si>
  <si>
    <t>DAL</t>
  </si>
  <si>
    <t>NDAQ</t>
  </si>
  <si>
    <t>NFLX</t>
  </si>
  <si>
    <t>PLD</t>
  </si>
  <si>
    <t>USO</t>
  </si>
  <si>
    <t>CORN</t>
  </si>
  <si>
    <t>SLV</t>
  </si>
  <si>
    <t>UNG</t>
  </si>
  <si>
    <t>PLTR</t>
  </si>
  <si>
    <t>SPHD</t>
  </si>
  <si>
    <t>HL</t>
  </si>
  <si>
    <t>B</t>
  </si>
  <si>
    <t>ARKK</t>
  </si>
  <si>
    <t>SE</t>
  </si>
  <si>
    <t>IVV</t>
  </si>
  <si>
    <t>sell</t>
  </si>
  <si>
    <t>ARGT</t>
  </si>
  <si>
    <t>MELI</t>
  </si>
  <si>
    <t>SOLUSD</t>
  </si>
  <si>
    <t>QQQ</t>
  </si>
  <si>
    <t>ORCL</t>
  </si>
  <si>
    <t>NVO</t>
  </si>
  <si>
    <t>AIRE</t>
  </si>
  <si>
    <t>PYPL</t>
  </si>
  <si>
    <t>QCOM</t>
  </si>
  <si>
    <t>FIG</t>
  </si>
  <si>
    <t>BTG</t>
  </si>
  <si>
    <t>IREN</t>
  </si>
  <si>
    <t>NBIS</t>
  </si>
  <si>
    <t>PAAS</t>
  </si>
  <si>
    <t>EEM</t>
  </si>
  <si>
    <t>MSTR</t>
  </si>
  <si>
    <t>MU</t>
  </si>
  <si>
    <t>AUGO</t>
  </si>
  <si>
    <t>COPX</t>
  </si>
  <si>
    <t>VDE</t>
  </si>
  <si>
    <t>VIST</t>
  </si>
  <si>
    <t>YPF</t>
  </si>
  <si>
    <t>RING</t>
  </si>
  <si>
    <t>HOOD</t>
  </si>
  <si>
    <t>NOW</t>
  </si>
  <si>
    <t>HUBS</t>
  </si>
  <si>
    <t>IGV</t>
  </si>
  <si>
    <t>TEAM</t>
  </si>
  <si>
    <t>CRM</t>
  </si>
  <si>
    <t>date_time</t>
  </si>
  <si>
    <t>ticker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</si>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</sst>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0.000"/>
    <numFmt numFmtId="166" formatCode="_(* #,##0.0000_);_(* \(#,##0.0000\);_(* &quot;-&quot;??_);_(@_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0"/>
      <color rgb="FF000000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66" fontId="1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03C2-5372-44CA-920E-B8461526100B}">
  <dimension ref="A1:F168"/>
  <sheetViews>
    <sheetView tabSelected="1" workbookViewId="0">
      <pane ySplit="1" topLeftCell="A2" activePane="bottomLeft" state="frozen"/>
      <selection pane="bottomLeft" activeCell="E168" sqref="E2:E168"/>
    </sheetView>
  </sheetViews>
  <sheetFormatPr defaultRowHeight="15.75" x14ac:dyDescent="0.25"/>
  <cols>
    <col min="1" max="1" width="14.375" style="11" customWidth="1"/>
    <col min="2" max="2" width="11.25" customWidth="1"/>
    <col min="3" max="3" width="12.625" style="2" customWidth="1"/>
    <col min="4" max="5" width="12.625" style="6" customWidth="1"/>
    <col min="6" max="6" width="12.625" style="2" customWidth="1"/>
  </cols>
  <sheetData>
    <row r="1" spans="1:6" x14ac:dyDescent="0.25">
      <c r="A1" s="10" t="s">
        <v>68</v>
      </c>
      <c r="B1" t="s">
        <v>69</v>
      </c>
      <c r="C1" s="2" t="s">
        <v>3</v>
      </c>
      <c r="D1" s="6" t="s">
        <v>4</v>
      </c>
      <c r="E1" s="6" t="s">
        <v>2</v>
      </c>
      <c r="F1" s="2" t="s">
        <v>5</v>
      </c>
    </row>
    <row r="2" spans="1:6" x14ac:dyDescent="0.25">
      <c r="A2" s="11">
        <v>45903.43472222222</v>
      </c>
      <c r="B2" t="s">
        <v>6</v>
      </c>
      <c r="C2" s="2">
        <v>63.42</v>
      </c>
      <c r="D2" s="6">
        <v>3.15</v>
      </c>
      <c r="E2" s="6">
        <f>IF(F2="Sell",-C2*D2,C2*D2)</f>
        <v>199.773</v>
      </c>
      <c r="F2" s="6" t="s">
        <v>70</v>
      </c>
    </row>
    <row r="3" spans="1:6" x14ac:dyDescent="0.25">
      <c r="A3" s="11">
        <v>45903.435416666667</v>
      </c>
      <c r="B3" t="s">
        <v>8</v>
      </c>
      <c r="C3" s="2">
        <v>33.61</v>
      </c>
      <c r="D3" s="6">
        <v>5.94</v>
      </c>
      <c r="E3" s="6">
        <f>IF(F3="Sell",-C3*D3,C3*D3)</f>
        <v>199.64340000000001</v>
      </c>
      <c r="F3" s="2" t="s">
        <v>70</v>
      </c>
    </row>
    <row r="4" spans="1:6" x14ac:dyDescent="0.25">
      <c r="A4" s="11">
        <v>45903.436111111114</v>
      </c>
      <c r="B4" t="s">
        <v>9</v>
      </c>
      <c r="C4" s="2">
        <v>317.19</v>
      </c>
      <c r="D4" s="6">
        <v>0.63053000000000003</v>
      </c>
      <c r="E4" s="6">
        <f>IF(F4="Sell",-C4*D4,C4*D4)</f>
        <v>199.9978107</v>
      </c>
      <c r="F4" s="2" t="s">
        <v>70</v>
      </c>
    </row>
    <row r="5" spans="1:6" x14ac:dyDescent="0.25">
      <c r="A5" s="11">
        <v>45903.436805555553</v>
      </c>
      <c r="B5" t="s">
        <v>10</v>
      </c>
      <c r="C5" s="2">
        <v>328.13</v>
      </c>
      <c r="D5" s="6">
        <v>0.76188999999999996</v>
      </c>
      <c r="E5" s="6">
        <f>IF(F5="Sell",-C5*D5,C5*D5)</f>
        <v>249.99896569999999</v>
      </c>
      <c r="F5" s="2" t="s">
        <v>70</v>
      </c>
    </row>
    <row r="6" spans="1:6" x14ac:dyDescent="0.25">
      <c r="A6" s="11">
        <v>45903.438194444447</v>
      </c>
      <c r="B6" t="s">
        <v>11</v>
      </c>
      <c r="C6" s="2">
        <v>131.86000000000001</v>
      </c>
      <c r="D6" s="6">
        <v>0.37919000000000003</v>
      </c>
      <c r="E6" s="6">
        <f>IF(F6="Sell",-C6*D6,C6*D6)</f>
        <v>49.999993400000008</v>
      </c>
      <c r="F6" s="2" t="s">
        <v>70</v>
      </c>
    </row>
    <row r="7" spans="1:6" x14ac:dyDescent="0.25">
      <c r="A7" s="11">
        <v>45903.438888888886</v>
      </c>
      <c r="B7" t="s">
        <v>12</v>
      </c>
      <c r="C7" s="2">
        <v>643.12</v>
      </c>
      <c r="D7" s="6">
        <v>0.31097999999999998</v>
      </c>
      <c r="E7" s="6">
        <f>IF(F7="Sell",-C7*D7,C7*D7)</f>
        <v>199.99745759999999</v>
      </c>
      <c r="F7" s="2" t="s">
        <v>70</v>
      </c>
    </row>
    <row r="8" spans="1:6" x14ac:dyDescent="0.25">
      <c r="A8" s="11">
        <v>45903.440972222219</v>
      </c>
      <c r="B8" t="s">
        <v>13</v>
      </c>
      <c r="C8" s="2">
        <v>9.14</v>
      </c>
      <c r="D8" s="6">
        <v>5.46</v>
      </c>
      <c r="E8" s="6">
        <f>IF(F8="Sell",-C8*D8,C8*D8)</f>
        <v>49.904400000000003</v>
      </c>
      <c r="F8" s="2" t="s">
        <v>70</v>
      </c>
    </row>
    <row r="9" spans="1:6" x14ac:dyDescent="0.25">
      <c r="A9" s="11">
        <v>45903.445138888892</v>
      </c>
      <c r="B9" t="s">
        <v>14</v>
      </c>
      <c r="C9" s="2">
        <v>45.22</v>
      </c>
      <c r="D9" s="6">
        <v>0.44206000000000001</v>
      </c>
      <c r="E9" s="6">
        <f>IF(F9="Sell",-C9*D9,C9*D9)</f>
        <v>19.989953199999999</v>
      </c>
      <c r="F9" s="2" t="s">
        <v>70</v>
      </c>
    </row>
    <row r="10" spans="1:6" x14ac:dyDescent="0.25">
      <c r="A10" s="11">
        <v>45903.445833333331</v>
      </c>
      <c r="B10" t="s">
        <v>15</v>
      </c>
      <c r="C10" s="2">
        <v>39.6</v>
      </c>
      <c r="D10" s="6">
        <v>0.50480000000000003</v>
      </c>
      <c r="E10" s="6">
        <f>IF(F10="Sell",-C10*D10,C10*D10)</f>
        <v>19.990080000000003</v>
      </c>
      <c r="F10" s="2" t="s">
        <v>70</v>
      </c>
    </row>
    <row r="11" spans="1:6" x14ac:dyDescent="0.25">
      <c r="A11" s="11">
        <v>45903.448611111111</v>
      </c>
      <c r="B11" t="s">
        <v>16</v>
      </c>
      <c r="C11" s="2">
        <v>5.26</v>
      </c>
      <c r="D11" s="6">
        <v>4.75</v>
      </c>
      <c r="E11" s="6">
        <f>IF(F11="Sell",-C11*D11,C11*D11)</f>
        <v>24.984999999999999</v>
      </c>
      <c r="F11" s="2" t="s">
        <v>70</v>
      </c>
    </row>
    <row r="12" spans="1:6" x14ac:dyDescent="0.25">
      <c r="A12" s="11">
        <v>45903.455555555556</v>
      </c>
      <c r="B12" t="s">
        <v>17</v>
      </c>
      <c r="C12" s="2">
        <v>339.97</v>
      </c>
      <c r="D12" s="6">
        <v>5.8790000000000002E-2</v>
      </c>
      <c r="E12" s="6">
        <f>IF(F12="Sell",-C12*D12,C12*D12)</f>
        <v>19.986836300000004</v>
      </c>
      <c r="F12" s="2" t="s">
        <v>70</v>
      </c>
    </row>
    <row r="13" spans="1:6" x14ac:dyDescent="0.25">
      <c r="A13" s="11">
        <v>45903.463888888888</v>
      </c>
      <c r="B13" t="s">
        <v>18</v>
      </c>
      <c r="C13" s="2">
        <v>506.14</v>
      </c>
      <c r="D13" s="6">
        <v>3.9489999999999997E-2</v>
      </c>
      <c r="E13" s="6">
        <f>IF(F13="Sell",-C13*D13,C13*D13)</f>
        <v>19.9874686</v>
      </c>
      <c r="F13" s="2" t="s">
        <v>70</v>
      </c>
    </row>
    <row r="14" spans="1:6" x14ac:dyDescent="0.25">
      <c r="A14" s="11">
        <v>45903.46597222222</v>
      </c>
      <c r="B14" t="s">
        <v>19</v>
      </c>
      <c r="C14" s="2">
        <v>737.72</v>
      </c>
      <c r="D14" s="6">
        <v>2.7089999999999999E-2</v>
      </c>
      <c r="E14" s="6">
        <f>IF(F14="Sell",-C14*D14,C14*D14)</f>
        <v>19.984834800000002</v>
      </c>
      <c r="F14" s="2" t="s">
        <v>70</v>
      </c>
    </row>
    <row r="15" spans="1:6" x14ac:dyDescent="0.25">
      <c r="A15" s="11">
        <v>45903.467361111114</v>
      </c>
      <c r="B15" t="s">
        <v>20</v>
      </c>
      <c r="C15" s="2">
        <v>236.43</v>
      </c>
      <c r="D15" s="6">
        <v>8.4540000000000004E-2</v>
      </c>
      <c r="E15" s="6">
        <f>IF(F15="Sell",-C15*D15,C15*D15)</f>
        <v>19.987792200000001</v>
      </c>
      <c r="F15" s="2" t="s">
        <v>70</v>
      </c>
    </row>
    <row r="16" spans="1:6" x14ac:dyDescent="0.25">
      <c r="A16" s="11">
        <v>45903.46875</v>
      </c>
      <c r="B16" t="s">
        <v>21</v>
      </c>
      <c r="C16" s="2">
        <v>230.24</v>
      </c>
      <c r="D16" s="6">
        <v>0.21715999999999999</v>
      </c>
      <c r="E16" s="6">
        <f>IF(F16="Sell",-C16*D16,C16*D16)</f>
        <v>49.998918400000001</v>
      </c>
      <c r="F16" s="2" t="s">
        <v>70</v>
      </c>
    </row>
    <row r="17" spans="1:6" x14ac:dyDescent="0.25">
      <c r="A17" s="11">
        <v>45903.470138888886</v>
      </c>
      <c r="B17" t="s">
        <v>22</v>
      </c>
      <c r="C17" s="2">
        <v>225.92</v>
      </c>
      <c r="D17" s="6">
        <v>0.13278000000000001</v>
      </c>
      <c r="E17" s="6">
        <f>IF(F17="Sell",-C17*D17,C17*D17)</f>
        <v>29.9976576</v>
      </c>
      <c r="F17" s="2" t="s">
        <v>70</v>
      </c>
    </row>
    <row r="18" spans="1:6" x14ac:dyDescent="0.25">
      <c r="A18" s="11">
        <v>45903.474999999999</v>
      </c>
      <c r="B18" t="s">
        <v>23</v>
      </c>
      <c r="C18" s="2">
        <v>61.94</v>
      </c>
      <c r="D18" s="6">
        <v>0.48430000000000001</v>
      </c>
      <c r="E18" s="6">
        <f>IF(F18="Sell",-C18*D18,C18*D18)</f>
        <v>29.997541999999999</v>
      </c>
      <c r="F18" s="2" t="s">
        <v>70</v>
      </c>
    </row>
    <row r="19" spans="1:6" x14ac:dyDescent="0.25">
      <c r="A19" s="11">
        <v>45903.476388888892</v>
      </c>
      <c r="B19" t="s">
        <v>24</v>
      </c>
      <c r="C19" s="2">
        <v>93.52</v>
      </c>
      <c r="D19" s="6">
        <v>1.06</v>
      </c>
      <c r="E19" s="6">
        <f>IF(F19="Sell",-C19*D19,C19*D19)</f>
        <v>99.131200000000007</v>
      </c>
      <c r="F19" s="2" t="s">
        <v>70</v>
      </c>
    </row>
    <row r="20" spans="1:6" x14ac:dyDescent="0.25">
      <c r="A20" s="11">
        <v>45903.479861111111</v>
      </c>
      <c r="B20" t="s">
        <v>25</v>
      </c>
      <c r="C20" s="2">
        <v>121.82</v>
      </c>
      <c r="D20" s="6">
        <v>0.41039999999999999</v>
      </c>
      <c r="E20" s="6">
        <f>IF(F20="Sell",-C20*D20,C20*D20)</f>
        <v>49.994927999999994</v>
      </c>
      <c r="F20" s="2" t="s">
        <v>70</v>
      </c>
    </row>
    <row r="21" spans="1:6" x14ac:dyDescent="0.25">
      <c r="A21" s="11">
        <v>45903.480555555558</v>
      </c>
      <c r="B21" t="s">
        <v>26</v>
      </c>
      <c r="C21" s="2">
        <v>111.61</v>
      </c>
      <c r="D21" s="6">
        <v>8.9590000000000003E-2</v>
      </c>
      <c r="E21" s="6">
        <f>IF(F21="Sell",-C21*D21,C21*D21)</f>
        <v>9.9991398999999994</v>
      </c>
      <c r="F21" s="2" t="s">
        <v>70</v>
      </c>
    </row>
    <row r="22" spans="1:6" x14ac:dyDescent="0.25">
      <c r="A22" s="11">
        <v>45903.493750000001</v>
      </c>
      <c r="B22" t="s">
        <v>27</v>
      </c>
      <c r="C22" s="2">
        <v>74.92</v>
      </c>
      <c r="D22" s="6">
        <v>0.40042</v>
      </c>
      <c r="E22" s="6">
        <f>IF(F22="Sell",-C22*D22,C22*D22)</f>
        <v>29.999466399999999</v>
      </c>
      <c r="F22" s="2" t="s">
        <v>70</v>
      </c>
    </row>
    <row r="23" spans="1:6" x14ac:dyDescent="0.25">
      <c r="A23" s="11">
        <v>45903.494444444441</v>
      </c>
      <c r="B23" t="s">
        <v>28</v>
      </c>
      <c r="C23" s="2">
        <v>17.5</v>
      </c>
      <c r="D23" s="6">
        <v>1.42</v>
      </c>
      <c r="E23" s="6">
        <f>IF(F23="Sell",-C23*D23,C23*D23)</f>
        <v>24.849999999999998</v>
      </c>
      <c r="F23" s="2" t="s">
        <v>70</v>
      </c>
    </row>
    <row r="24" spans="1:6" x14ac:dyDescent="0.25">
      <c r="A24" s="11">
        <v>45903.494444444441</v>
      </c>
      <c r="B24" t="s">
        <v>29</v>
      </c>
      <c r="C24" s="2">
        <v>37.47</v>
      </c>
      <c r="D24" s="6">
        <v>1.33</v>
      </c>
      <c r="E24" s="6">
        <f>IF(F24="Sell",-C24*D24,C24*D24)</f>
        <v>49.835100000000004</v>
      </c>
      <c r="F24" s="2" t="s">
        <v>70</v>
      </c>
    </row>
    <row r="25" spans="1:6" x14ac:dyDescent="0.25">
      <c r="A25" s="11">
        <v>45903.495138888888</v>
      </c>
      <c r="B25" t="s">
        <v>30</v>
      </c>
      <c r="C25" s="2">
        <v>13</v>
      </c>
      <c r="D25" s="6">
        <v>1.53</v>
      </c>
      <c r="E25" s="6">
        <f>IF(F25="Sell",-C25*D25,C25*D25)</f>
        <v>19.89</v>
      </c>
      <c r="F25" s="2" t="s">
        <v>70</v>
      </c>
    </row>
    <row r="26" spans="1:6" x14ac:dyDescent="0.25">
      <c r="A26" s="11">
        <v>45903.504861111112</v>
      </c>
      <c r="B26" t="s">
        <v>31</v>
      </c>
      <c r="C26" s="2">
        <v>158.88999999999999</v>
      </c>
      <c r="D26" s="6">
        <v>0.12581000000000001</v>
      </c>
      <c r="E26" s="6">
        <f>IF(F26="Sell",-C26*D26,C26*D26)</f>
        <v>19.9899509</v>
      </c>
      <c r="F26" s="2" t="s">
        <v>70</v>
      </c>
    </row>
    <row r="27" spans="1:6" x14ac:dyDescent="0.25">
      <c r="A27" s="11">
        <v>45904.404861111114</v>
      </c>
      <c r="B27" t="s">
        <v>32</v>
      </c>
      <c r="C27" s="2">
        <v>49.57</v>
      </c>
      <c r="D27" s="6">
        <v>1</v>
      </c>
      <c r="E27" s="6">
        <f>IF(F27="Sell",-C27*D27,C27*D27)</f>
        <v>49.57</v>
      </c>
      <c r="F27" s="2" t="s">
        <v>70</v>
      </c>
    </row>
    <row r="28" spans="1:6" x14ac:dyDescent="0.25">
      <c r="A28" s="11">
        <v>45904.406944444447</v>
      </c>
      <c r="B28" t="s">
        <v>33</v>
      </c>
      <c r="C28" s="2">
        <v>8.94</v>
      </c>
      <c r="D28" s="6">
        <v>3.35</v>
      </c>
      <c r="E28" s="6">
        <f>IF(F28="Sell",-C28*D28,C28*D28)</f>
        <v>29.948999999999998</v>
      </c>
      <c r="F28" s="2" t="s">
        <v>70</v>
      </c>
    </row>
    <row r="29" spans="1:6" x14ac:dyDescent="0.25">
      <c r="A29" s="11">
        <v>45904.407638888886</v>
      </c>
      <c r="B29" t="s">
        <v>34</v>
      </c>
      <c r="C29" s="2">
        <v>27.16</v>
      </c>
      <c r="D29" s="6">
        <v>0.92030000000000001</v>
      </c>
      <c r="E29" s="6">
        <f>IF(F29="Sell",-C29*D29,C29*D29)</f>
        <v>24.995348</v>
      </c>
      <c r="F29" s="2" t="s">
        <v>70</v>
      </c>
    </row>
    <row r="30" spans="1:6" x14ac:dyDescent="0.25">
      <c r="A30" s="11">
        <v>45904.412499999999</v>
      </c>
      <c r="B30" t="s">
        <v>35</v>
      </c>
      <c r="C30" s="2">
        <v>74.34</v>
      </c>
      <c r="D30" s="6">
        <v>1.34</v>
      </c>
      <c r="E30" s="6">
        <f>IF(F30="Sell",-C30*D30,C30*D30)</f>
        <v>99.615600000000015</v>
      </c>
      <c r="F30" s="2" t="s">
        <v>70</v>
      </c>
    </row>
    <row r="31" spans="1:6" x14ac:dyDescent="0.25">
      <c r="A31" s="11">
        <v>45904.414583333331</v>
      </c>
      <c r="B31" t="s">
        <v>36</v>
      </c>
      <c r="C31" s="2">
        <v>185.21</v>
      </c>
      <c r="D31" s="6">
        <v>0.16197</v>
      </c>
      <c r="E31" s="6">
        <f>IF(F31="Sell",-C31*D31,C31*D31)</f>
        <v>29.998463700000002</v>
      </c>
      <c r="F31" s="2" t="s">
        <v>70</v>
      </c>
    </row>
    <row r="32" spans="1:6" x14ac:dyDescent="0.25">
      <c r="A32" s="11">
        <v>45904.418749999997</v>
      </c>
      <c r="B32" t="s">
        <v>37</v>
      </c>
      <c r="C32" s="2">
        <v>647.66</v>
      </c>
      <c r="D32" s="6">
        <v>0.15440000000000001</v>
      </c>
      <c r="E32" s="6">
        <f>IF(F32="Sell",-C32*D32,C32*D32)</f>
        <v>99.998704000000004</v>
      </c>
      <c r="F32" s="2" t="s">
        <v>70</v>
      </c>
    </row>
    <row r="33" spans="1:6" x14ac:dyDescent="0.25">
      <c r="A33" s="11">
        <v>45905.408333333333</v>
      </c>
      <c r="B33" t="s">
        <v>16</v>
      </c>
      <c r="C33" s="2">
        <v>6.65</v>
      </c>
      <c r="D33" s="6">
        <v>2.25</v>
      </c>
      <c r="E33" s="6">
        <f>IF(F33="Sell",-C33*D33,C33*D33)</f>
        <v>14.9625</v>
      </c>
      <c r="F33" s="2" t="s">
        <v>70</v>
      </c>
    </row>
    <row r="34" spans="1:6" x14ac:dyDescent="0.25">
      <c r="A34" s="11">
        <v>45908.665277777778</v>
      </c>
      <c r="B34" t="s">
        <v>23</v>
      </c>
      <c r="C34" s="2">
        <v>61.73</v>
      </c>
      <c r="D34" s="6">
        <v>0.48430000000000001</v>
      </c>
      <c r="E34" s="6">
        <f>IF(F34="Sell",-C34*D34,C34*D34)</f>
        <v>-29.895838999999999</v>
      </c>
      <c r="F34" s="2" t="s">
        <v>71</v>
      </c>
    </row>
    <row r="35" spans="1:6" x14ac:dyDescent="0.25">
      <c r="A35" s="11">
        <v>45909.415277777778</v>
      </c>
      <c r="B35" t="s">
        <v>16</v>
      </c>
      <c r="C35" s="2">
        <v>6.16</v>
      </c>
      <c r="D35" s="6">
        <v>3</v>
      </c>
      <c r="E35" s="6">
        <f>IF(F35="Sell",-C35*D35,C35*D35)</f>
        <v>18.48</v>
      </c>
      <c r="F35" s="2" t="s">
        <v>70</v>
      </c>
    </row>
    <row r="36" spans="1:6" x14ac:dyDescent="0.25">
      <c r="A36" s="11">
        <v>45909.418055555558</v>
      </c>
      <c r="B36" t="s">
        <v>8</v>
      </c>
      <c r="C36" s="2">
        <v>32.69</v>
      </c>
      <c r="D36" s="6">
        <v>0.38446000000000002</v>
      </c>
      <c r="E36" s="6">
        <f>IF(F36="Sell",-C36*D36,C36*D36)</f>
        <v>12.567997399999999</v>
      </c>
      <c r="F36" s="2" t="s">
        <v>70</v>
      </c>
    </row>
    <row r="37" spans="1:6" x14ac:dyDescent="0.25">
      <c r="A37" s="11">
        <v>45909.427083333336</v>
      </c>
      <c r="B37" t="s">
        <v>39</v>
      </c>
      <c r="C37" s="2">
        <v>72.319999999999993</v>
      </c>
      <c r="D37" s="6">
        <v>1.38</v>
      </c>
      <c r="E37" s="6">
        <f>IF(F37="Sell",-C37*D37,C37*D37)</f>
        <v>99.801599999999979</v>
      </c>
      <c r="F37" s="2" t="s">
        <v>70</v>
      </c>
    </row>
    <row r="38" spans="1:6" x14ac:dyDescent="0.25">
      <c r="A38" s="11">
        <v>45909.427777777775</v>
      </c>
      <c r="B38" t="s">
        <v>40</v>
      </c>
      <c r="C38" s="2">
        <v>2362.94</v>
      </c>
      <c r="D38" s="6">
        <v>8.4499999999999992E-3</v>
      </c>
      <c r="E38" s="6">
        <f>IF(F38="Sell",-C38*D38,C38*D38)</f>
        <v>19.966842999999997</v>
      </c>
      <c r="F38" s="2" t="s">
        <v>70</v>
      </c>
    </row>
    <row r="39" spans="1:6" x14ac:dyDescent="0.25">
      <c r="A39" s="11">
        <v>45909.431250000001</v>
      </c>
      <c r="B39" t="s">
        <v>10</v>
      </c>
      <c r="C39" s="2">
        <v>335.9</v>
      </c>
      <c r="D39" s="6">
        <v>1</v>
      </c>
      <c r="E39" s="6">
        <f>IF(F39="Sell",-C39*D39,C39*D39)</f>
        <v>335.9</v>
      </c>
      <c r="F39" s="2" t="s">
        <v>70</v>
      </c>
    </row>
    <row r="40" spans="1:6" x14ac:dyDescent="0.25">
      <c r="A40" s="11">
        <v>45909.43472222222</v>
      </c>
      <c r="B40" t="s">
        <v>12</v>
      </c>
      <c r="C40" s="2">
        <v>648.80999999999995</v>
      </c>
      <c r="D40" s="6">
        <v>0.46235999999999999</v>
      </c>
      <c r="E40" s="6">
        <f>IF(F40="Sell",-C40*D40,C40*D40)</f>
        <v>299.98379159999996</v>
      </c>
      <c r="F40" s="2" t="s">
        <v>70</v>
      </c>
    </row>
    <row r="41" spans="1:6" x14ac:dyDescent="0.25">
      <c r="A41" s="11">
        <v>45909.439583333333</v>
      </c>
      <c r="B41" t="s">
        <v>13</v>
      </c>
      <c r="C41" s="2">
        <v>9.89</v>
      </c>
      <c r="D41" s="6">
        <v>1.36</v>
      </c>
      <c r="E41" s="6">
        <f>IF(F41="Sell",-C41*D41,C41*D41)</f>
        <v>13.450400000000002</v>
      </c>
      <c r="F41" s="2" t="s">
        <v>70</v>
      </c>
    </row>
    <row r="42" spans="1:6" x14ac:dyDescent="0.25">
      <c r="A42" s="11">
        <v>45909.589583333334</v>
      </c>
      <c r="B42" t="s">
        <v>42</v>
      </c>
      <c r="C42" s="2">
        <v>579.97</v>
      </c>
      <c r="D42" s="6">
        <v>0.17241999999999999</v>
      </c>
      <c r="E42" s="6">
        <f>IF(F42="Sell",-C42*D42,C42*D42)</f>
        <v>99.998427399999997</v>
      </c>
      <c r="F42" s="2" t="s">
        <v>70</v>
      </c>
    </row>
    <row r="43" spans="1:6" x14ac:dyDescent="0.25">
      <c r="A43" s="11">
        <v>45910.459722222222</v>
      </c>
      <c r="B43" t="s">
        <v>43</v>
      </c>
      <c r="C43" s="2">
        <v>341.71</v>
      </c>
      <c r="D43" s="6">
        <v>5.849E-2</v>
      </c>
      <c r="E43" s="6">
        <f>IF(F43="Sell",-C43*D43,C43*D43)</f>
        <v>19.986617899999999</v>
      </c>
      <c r="F43" s="2" t="s">
        <v>70</v>
      </c>
    </row>
    <row r="44" spans="1:6" x14ac:dyDescent="0.25">
      <c r="A44" s="11">
        <v>45910.654166666667</v>
      </c>
      <c r="B44" t="s">
        <v>16</v>
      </c>
      <c r="C44" s="2">
        <v>5.69</v>
      </c>
      <c r="D44" s="6">
        <v>1.47</v>
      </c>
      <c r="E44" s="6">
        <f>IF(F44="Sell",-C44*D44,C44*D44)</f>
        <v>8.3643000000000001</v>
      </c>
      <c r="F44" s="2" t="s">
        <v>70</v>
      </c>
    </row>
    <row r="45" spans="1:6" x14ac:dyDescent="0.25">
      <c r="A45" s="11">
        <v>45911.636805555558</v>
      </c>
      <c r="B45" t="s">
        <v>43</v>
      </c>
      <c r="C45" s="2">
        <v>308.70999999999998</v>
      </c>
      <c r="D45" s="6">
        <v>5.849E-2</v>
      </c>
      <c r="E45" s="6">
        <f>IF(F45="Sell",-C45*D45,C45*D45)</f>
        <v>-18.056447899999998</v>
      </c>
      <c r="F45" s="2" t="s">
        <v>71</v>
      </c>
    </row>
    <row r="46" spans="1:6" x14ac:dyDescent="0.25">
      <c r="A46" s="11">
        <v>45911.637499999997</v>
      </c>
      <c r="B46" t="s">
        <v>39</v>
      </c>
      <c r="C46" s="2">
        <v>73.36</v>
      </c>
      <c r="D46" s="6">
        <v>1.38</v>
      </c>
      <c r="E46" s="6">
        <f>IF(F46="Sell",-C46*D46,C46*D46)</f>
        <v>-101.23679999999999</v>
      </c>
      <c r="F46" s="2" t="s">
        <v>71</v>
      </c>
    </row>
    <row r="47" spans="1:6" x14ac:dyDescent="0.25">
      <c r="A47" s="11">
        <v>45912.396527777775</v>
      </c>
      <c r="B47" t="s">
        <v>44</v>
      </c>
      <c r="C47" s="2">
        <v>54.9</v>
      </c>
      <c r="D47" s="6">
        <v>1</v>
      </c>
      <c r="E47" s="6">
        <f>IF(F47="Sell",-C47*D47,C47*D47)</f>
        <v>54.9</v>
      </c>
      <c r="F47" s="2" t="s">
        <v>70</v>
      </c>
    </row>
    <row r="48" spans="1:6" x14ac:dyDescent="0.25">
      <c r="A48" s="11">
        <v>45912.399305555555</v>
      </c>
      <c r="B48" t="s">
        <v>45</v>
      </c>
      <c r="C48" s="2">
        <v>34.49</v>
      </c>
      <c r="D48" s="6">
        <v>0.4</v>
      </c>
      <c r="E48" s="6">
        <f>IF(F48="Sell",-C48*D48,C48*D48)</f>
        <v>13.796000000000001</v>
      </c>
      <c r="F48" s="2" t="s">
        <v>70</v>
      </c>
    </row>
    <row r="49" spans="1:6" x14ac:dyDescent="0.25">
      <c r="A49" s="11">
        <v>45912.408333333333</v>
      </c>
      <c r="B49" t="s">
        <v>45</v>
      </c>
      <c r="C49" s="2">
        <v>42.99</v>
      </c>
      <c r="D49" s="6">
        <v>1</v>
      </c>
      <c r="E49" s="6">
        <f>IF(F49="Sell",-C49*D49,C49*D49)</f>
        <v>42.99</v>
      </c>
      <c r="F49" s="2" t="s">
        <v>70</v>
      </c>
    </row>
    <row r="50" spans="1:6" x14ac:dyDescent="0.25">
      <c r="A50" s="11">
        <v>45912.414583333331</v>
      </c>
      <c r="B50" t="s">
        <v>45</v>
      </c>
      <c r="C50" s="2">
        <v>37.74</v>
      </c>
      <c r="D50" s="6">
        <v>0.16</v>
      </c>
      <c r="E50" s="6">
        <f>IF(F50="Sell",-C50*D50,C50*D50)</f>
        <v>6.0384000000000002</v>
      </c>
      <c r="F50" s="2" t="s">
        <v>70</v>
      </c>
    </row>
    <row r="51" spans="1:6" x14ac:dyDescent="0.25">
      <c r="A51" s="11">
        <v>45923.460416666669</v>
      </c>
      <c r="B51" t="s">
        <v>46</v>
      </c>
      <c r="C51" s="2">
        <v>68.19</v>
      </c>
      <c r="D51" s="6">
        <v>1</v>
      </c>
      <c r="E51" s="6">
        <f>IF(F51="Sell",-C51*D51,C51*D51)</f>
        <v>68.19</v>
      </c>
      <c r="F51" s="2" t="s">
        <v>70</v>
      </c>
    </row>
    <row r="52" spans="1:6" x14ac:dyDescent="0.25">
      <c r="A52" s="11">
        <v>45923.463194444441</v>
      </c>
      <c r="B52" t="s">
        <v>21</v>
      </c>
      <c r="C52" s="2">
        <v>251.48</v>
      </c>
      <c r="D52" s="6">
        <v>0.58055999999999996</v>
      </c>
      <c r="E52" s="6">
        <f>IF(F52="Sell",-C52*D52,C52*D52)</f>
        <v>145.9992288</v>
      </c>
      <c r="F52" s="2" t="s">
        <v>70</v>
      </c>
    </row>
    <row r="53" spans="1:6" x14ac:dyDescent="0.25">
      <c r="A53" s="11">
        <v>45923.489583333336</v>
      </c>
      <c r="B53" t="s">
        <v>47</v>
      </c>
      <c r="C53" s="2">
        <v>170.43</v>
      </c>
      <c r="D53" s="6">
        <v>1</v>
      </c>
      <c r="E53" s="6">
        <f>IF(F53="Sell",-C53*D53,C53*D53)</f>
        <v>170.43</v>
      </c>
      <c r="F53" s="2" t="s">
        <v>70</v>
      </c>
    </row>
    <row r="54" spans="1:6" x14ac:dyDescent="0.25">
      <c r="A54" s="11">
        <v>45923.515972222223</v>
      </c>
      <c r="B54" t="s">
        <v>19</v>
      </c>
      <c r="C54" s="2">
        <v>765.72</v>
      </c>
      <c r="D54" s="6">
        <v>0.10446999999999999</v>
      </c>
      <c r="E54" s="6">
        <f>IF(F54="Sell",-C54*D54,C54*D54)</f>
        <v>79.994768399999998</v>
      </c>
      <c r="F54" s="2" t="s">
        <v>70</v>
      </c>
    </row>
    <row r="55" spans="1:6" x14ac:dyDescent="0.25">
      <c r="A55" s="11">
        <v>45923.517361111109</v>
      </c>
      <c r="B55" t="s">
        <v>16</v>
      </c>
      <c r="C55" s="2">
        <v>8.0299999999999994</v>
      </c>
      <c r="D55" s="6">
        <v>4.45</v>
      </c>
      <c r="E55" s="6">
        <f>IF(F55="Sell",-C55*D55,C55*D55)</f>
        <v>35.733499999999999</v>
      </c>
      <c r="F55" s="2" t="s">
        <v>70</v>
      </c>
    </row>
    <row r="56" spans="1:6" x14ac:dyDescent="0.25">
      <c r="A56" s="11">
        <v>45924.42291666667</v>
      </c>
      <c r="B56" t="s">
        <v>37</v>
      </c>
      <c r="C56" s="2">
        <v>666.18</v>
      </c>
      <c r="D56" s="6">
        <v>0.15473000000000001</v>
      </c>
      <c r="E56" s="6">
        <f>IF(F56="Sell",-C56*D56,C56*D56)</f>
        <v>-103.0780314</v>
      </c>
      <c r="F56" s="2" t="s">
        <v>71</v>
      </c>
    </row>
    <row r="57" spans="1:6" x14ac:dyDescent="0.25">
      <c r="A57" s="11">
        <v>45924.423611111109</v>
      </c>
      <c r="B57" t="s">
        <v>32</v>
      </c>
      <c r="C57" s="2">
        <v>48.95</v>
      </c>
      <c r="D57" s="6">
        <v>1</v>
      </c>
      <c r="E57" s="6">
        <f>IF(F57="Sell",-C57*D57,C57*D57)</f>
        <v>-48.95</v>
      </c>
      <c r="F57" s="2" t="s">
        <v>71</v>
      </c>
    </row>
    <row r="58" spans="1:6" x14ac:dyDescent="0.25">
      <c r="A58" s="11">
        <v>45924.423611111109</v>
      </c>
      <c r="B58" t="s">
        <v>25</v>
      </c>
      <c r="C58" s="2">
        <v>121.43</v>
      </c>
      <c r="D58" s="6">
        <v>0.41039999999999999</v>
      </c>
      <c r="E58" s="6">
        <f>IF(F58="Sell",-C58*D58,C58*D58)</f>
        <v>-49.834872000000004</v>
      </c>
      <c r="F58" s="2" t="s">
        <v>71</v>
      </c>
    </row>
    <row r="59" spans="1:6" x14ac:dyDescent="0.25">
      <c r="A59" s="11">
        <v>45929.46875</v>
      </c>
      <c r="B59" t="s">
        <v>9</v>
      </c>
      <c r="C59" s="2">
        <v>327</v>
      </c>
      <c r="D59" s="6">
        <v>0.61799999999999999</v>
      </c>
      <c r="E59" s="6">
        <f>IF(F59="Sell",-C59*D59,C59*D59)</f>
        <v>202.08599999999998</v>
      </c>
      <c r="F59" s="2" t="s">
        <v>70</v>
      </c>
    </row>
    <row r="60" spans="1:6" x14ac:dyDescent="0.25">
      <c r="A60" s="11">
        <v>45937.396527777775</v>
      </c>
      <c r="B60" t="s">
        <v>48</v>
      </c>
      <c r="C60" s="2">
        <v>61.27</v>
      </c>
      <c r="D60" s="6">
        <v>1</v>
      </c>
      <c r="E60" s="6">
        <f>IF(F60="Sell",-C60*D60,C60*D60)</f>
        <v>61.27</v>
      </c>
      <c r="F60" s="2" t="s">
        <v>70</v>
      </c>
    </row>
    <row r="61" spans="1:6" x14ac:dyDescent="0.25">
      <c r="A61" s="11">
        <v>45937.398611111108</v>
      </c>
      <c r="B61" t="s">
        <v>34</v>
      </c>
      <c r="C61" s="2">
        <v>33.94</v>
      </c>
      <c r="D61" s="6">
        <v>2</v>
      </c>
      <c r="E61" s="6">
        <f>IF(F61="Sell",-C61*D61,C61*D61)</f>
        <v>67.88</v>
      </c>
      <c r="F61" s="2" t="s">
        <v>70</v>
      </c>
    </row>
    <row r="62" spans="1:6" x14ac:dyDescent="0.25">
      <c r="A62" s="11">
        <v>45937.4</v>
      </c>
      <c r="B62" t="s">
        <v>33</v>
      </c>
      <c r="C62" s="2">
        <v>12.39</v>
      </c>
      <c r="D62" s="6">
        <v>4</v>
      </c>
      <c r="E62" s="6">
        <f>IF(F62="Sell",-C62*D62,C62*D62)</f>
        <v>49.56</v>
      </c>
      <c r="F62" s="2" t="s">
        <v>70</v>
      </c>
    </row>
    <row r="63" spans="1:6" x14ac:dyDescent="0.25">
      <c r="A63" s="11">
        <v>45937.40625</v>
      </c>
      <c r="B63" t="s">
        <v>49</v>
      </c>
      <c r="C63" s="2">
        <v>5.32</v>
      </c>
      <c r="D63" s="6">
        <v>5</v>
      </c>
      <c r="E63" s="6">
        <f>IF(F63="Sell",-C63*D63,C63*D63)</f>
        <v>26.6</v>
      </c>
      <c r="F63" s="2" t="s">
        <v>70</v>
      </c>
    </row>
    <row r="64" spans="1:6" x14ac:dyDescent="0.25">
      <c r="A64" s="11">
        <v>45937.462500000001</v>
      </c>
      <c r="B64" t="s">
        <v>50</v>
      </c>
      <c r="C64" s="2">
        <v>57.48</v>
      </c>
      <c r="D64" s="6">
        <v>2</v>
      </c>
      <c r="E64" s="6">
        <f>IF(F64="Sell",-C64*D64,C64*D64)</f>
        <v>114.96</v>
      </c>
      <c r="F64" s="2" t="s">
        <v>70</v>
      </c>
    </row>
    <row r="65" spans="1:6" x14ac:dyDescent="0.25">
      <c r="A65" s="11">
        <v>45937.465277777781</v>
      </c>
      <c r="B65" t="s">
        <v>42</v>
      </c>
      <c r="C65" s="2">
        <v>604.97</v>
      </c>
      <c r="D65" s="6">
        <v>0.12198000000000001</v>
      </c>
      <c r="E65" s="6">
        <f>IF(F65="Sell",-C65*D65,C65*D65)</f>
        <v>73.794240600000009</v>
      </c>
      <c r="F65" s="2" t="s">
        <v>70</v>
      </c>
    </row>
    <row r="66" spans="1:6" x14ac:dyDescent="0.25">
      <c r="A66" s="11">
        <v>45938.413194444445</v>
      </c>
      <c r="B66" t="s">
        <v>50</v>
      </c>
      <c r="C66" s="2">
        <v>59.34</v>
      </c>
      <c r="D66" s="6">
        <v>2</v>
      </c>
      <c r="E66" s="6">
        <f>IF(F66="Sell",-C66*D66,C66*D66)</f>
        <v>-118.68</v>
      </c>
      <c r="F66" s="2" t="s">
        <v>71</v>
      </c>
    </row>
    <row r="67" spans="1:6" x14ac:dyDescent="0.25">
      <c r="A67" s="11">
        <v>45939.417361111111</v>
      </c>
      <c r="B67" t="s">
        <v>51</v>
      </c>
      <c r="C67" s="2">
        <v>124.22</v>
      </c>
      <c r="D67" s="6">
        <v>0.95403000000000004</v>
      </c>
      <c r="E67" s="6">
        <f>IF(F67="Sell",-C67*D67,C67*D67)</f>
        <v>118.5096066</v>
      </c>
      <c r="F67" s="2" t="s">
        <v>70</v>
      </c>
    </row>
    <row r="68" spans="1:6" x14ac:dyDescent="0.25">
      <c r="A68" s="11">
        <v>45943.410416666666</v>
      </c>
      <c r="B68" t="s">
        <v>26</v>
      </c>
      <c r="C68" s="2">
        <v>112.2</v>
      </c>
      <c r="D68" s="6">
        <v>9.0120000000000006E-2</v>
      </c>
      <c r="E68" s="6">
        <f>IF(F68="Sell",-C68*D68,C68*D68)</f>
        <v>-10.111464000000002</v>
      </c>
      <c r="F68" s="2" t="s">
        <v>71</v>
      </c>
    </row>
    <row r="69" spans="1:6" x14ac:dyDescent="0.25">
      <c r="A69" s="11">
        <v>45943.411805555559</v>
      </c>
      <c r="B69" t="s">
        <v>20</v>
      </c>
      <c r="C69" s="2">
        <v>246.88</v>
      </c>
      <c r="D69" s="6">
        <v>8.4540000000000004E-2</v>
      </c>
      <c r="E69" s="6">
        <f>IF(F69="Sell",-C69*D69,C69*D69)</f>
        <v>-20.871235200000001</v>
      </c>
      <c r="F69" s="2" t="s">
        <v>71</v>
      </c>
    </row>
    <row r="70" spans="1:6" x14ac:dyDescent="0.25">
      <c r="A70" s="11">
        <v>45943.412499999999</v>
      </c>
      <c r="B70" t="s">
        <v>28</v>
      </c>
      <c r="C70" s="2">
        <v>17.309999999999999</v>
      </c>
      <c r="D70" s="6">
        <v>1.42</v>
      </c>
      <c r="E70" s="6">
        <f>IF(F70="Sell",-C70*D70,C70*D70)</f>
        <v>-24.580199999999998</v>
      </c>
      <c r="F70" s="2" t="s">
        <v>71</v>
      </c>
    </row>
    <row r="71" spans="1:6" x14ac:dyDescent="0.25">
      <c r="A71" s="11">
        <v>45943.413194444445</v>
      </c>
      <c r="B71" t="s">
        <v>11</v>
      </c>
      <c r="C71" s="2">
        <v>128.91</v>
      </c>
      <c r="D71" s="6">
        <v>0.37919000000000003</v>
      </c>
      <c r="E71" s="6">
        <f>IF(F71="Sell",-C71*D71,C71*D71)</f>
        <v>-48.881382900000006</v>
      </c>
      <c r="F71" s="2" t="s">
        <v>71</v>
      </c>
    </row>
    <row r="72" spans="1:6" x14ac:dyDescent="0.25">
      <c r="A72" s="11">
        <v>45943.415277777778</v>
      </c>
      <c r="B72" t="s">
        <v>36</v>
      </c>
      <c r="C72" s="2">
        <v>183.36</v>
      </c>
      <c r="D72" s="6">
        <v>0.16197</v>
      </c>
      <c r="E72" s="6">
        <f>IF(F72="Sell",-C72*D72,C72*D72)</f>
        <v>-29.698819200000003</v>
      </c>
      <c r="F72" s="2" t="s">
        <v>71</v>
      </c>
    </row>
    <row r="73" spans="1:6" x14ac:dyDescent="0.25">
      <c r="A73" s="11">
        <v>45943.417361111111</v>
      </c>
      <c r="B73" t="s">
        <v>27</v>
      </c>
      <c r="C73" s="2">
        <v>70.52</v>
      </c>
      <c r="D73" s="6">
        <v>0.40042</v>
      </c>
      <c r="E73" s="6">
        <f>IF(F73="Sell",-C73*D73,C73*D73)</f>
        <v>-28.237618399999999</v>
      </c>
      <c r="F73" s="2" t="s">
        <v>71</v>
      </c>
    </row>
    <row r="74" spans="1:6" x14ac:dyDescent="0.25">
      <c r="A74" s="11">
        <v>45946.399305555555</v>
      </c>
      <c r="B74" t="s">
        <v>52</v>
      </c>
      <c r="C74" s="2">
        <v>41.11</v>
      </c>
      <c r="D74" s="6">
        <v>3.93</v>
      </c>
      <c r="E74" s="6">
        <f>IF(F74="Sell",-C74*D74,C74*D74)</f>
        <v>161.56229999999999</v>
      </c>
      <c r="F74" s="2" t="s">
        <v>70</v>
      </c>
    </row>
    <row r="75" spans="1:6" x14ac:dyDescent="0.25">
      <c r="A75" s="11">
        <v>45957.457638888889</v>
      </c>
      <c r="B75" t="s">
        <v>47</v>
      </c>
      <c r="C75" s="2">
        <v>192.61</v>
      </c>
      <c r="D75" s="6">
        <v>1</v>
      </c>
      <c r="E75" s="6">
        <f>IF(F75="Sell",-C75*D75,C75*D75)</f>
        <v>-192.61</v>
      </c>
      <c r="F75" s="2" t="s">
        <v>71</v>
      </c>
    </row>
    <row r="76" spans="1:6" x14ac:dyDescent="0.25">
      <c r="A76" s="11">
        <v>45957.459722222222</v>
      </c>
      <c r="B76" t="s">
        <v>13</v>
      </c>
      <c r="C76" s="2">
        <v>10.29</v>
      </c>
      <c r="D76" s="6">
        <v>6.83</v>
      </c>
      <c r="E76" s="6">
        <f>IF(F76="Sell",-C76*D76,C76*D76)</f>
        <v>-70.280699999999996</v>
      </c>
      <c r="F76" s="2" t="s">
        <v>71</v>
      </c>
    </row>
    <row r="77" spans="1:6" x14ac:dyDescent="0.25">
      <c r="A77" s="11">
        <v>45957.460416666669</v>
      </c>
      <c r="B77" t="s">
        <v>33</v>
      </c>
      <c r="C77" s="2">
        <v>12.12</v>
      </c>
      <c r="D77" s="6">
        <v>7.35</v>
      </c>
      <c r="E77" s="6">
        <f>IF(F77="Sell",-C77*D77,C77*D77)</f>
        <v>-89.081999999999994</v>
      </c>
      <c r="F77" s="2" t="s">
        <v>71</v>
      </c>
    </row>
    <row r="78" spans="1:6" x14ac:dyDescent="0.25">
      <c r="A78" s="11">
        <v>45957.462500000001</v>
      </c>
      <c r="B78" t="s">
        <v>10</v>
      </c>
      <c r="C78" s="2">
        <v>365.94</v>
      </c>
      <c r="D78" s="6">
        <v>1.76</v>
      </c>
      <c r="E78" s="6">
        <f>IF(F78="Sell",-C78*D78,C78*D78)</f>
        <v>-644.05439999999999</v>
      </c>
      <c r="F78" s="2" t="s">
        <v>71</v>
      </c>
    </row>
    <row r="79" spans="1:6" x14ac:dyDescent="0.25">
      <c r="A79" s="11">
        <v>45957.463194444441</v>
      </c>
      <c r="B79" t="s">
        <v>51</v>
      </c>
      <c r="C79" s="2">
        <v>122.97</v>
      </c>
      <c r="D79" s="6">
        <v>0.95403000000000004</v>
      </c>
      <c r="E79" s="6">
        <f>IF(F79="Sell",-C79*D79,C79*D79)</f>
        <v>-117.3170691</v>
      </c>
      <c r="F79" s="2" t="s">
        <v>71</v>
      </c>
    </row>
    <row r="80" spans="1:6" x14ac:dyDescent="0.25">
      <c r="A80" s="11">
        <v>45957.463888888888</v>
      </c>
      <c r="B80" t="s">
        <v>29</v>
      </c>
      <c r="C80" s="2">
        <v>41.78</v>
      </c>
      <c r="D80" s="6">
        <v>1.33</v>
      </c>
      <c r="E80" s="6">
        <f>IF(F80="Sell",-C80*D80,C80*D80)</f>
        <v>-55.567400000000006</v>
      </c>
      <c r="F80" s="2" t="s">
        <v>71</v>
      </c>
    </row>
    <row r="81" spans="1:6" x14ac:dyDescent="0.25">
      <c r="A81" s="11">
        <v>45957.464583333334</v>
      </c>
      <c r="B81" t="s">
        <v>30</v>
      </c>
      <c r="C81" s="2">
        <v>12.92</v>
      </c>
      <c r="D81" s="6">
        <v>1.53</v>
      </c>
      <c r="E81" s="6">
        <f>IF(F81="Sell",-C81*D81,C81*D81)</f>
        <v>-19.767600000000002</v>
      </c>
      <c r="F81" s="2" t="s">
        <v>71</v>
      </c>
    </row>
    <row r="82" spans="1:6" x14ac:dyDescent="0.25">
      <c r="A82" s="11">
        <v>45957.464583333334</v>
      </c>
      <c r="B82" t="s">
        <v>40</v>
      </c>
      <c r="C82" s="2">
        <v>2277.38</v>
      </c>
      <c r="D82" s="6">
        <v>8.4499999999999992E-3</v>
      </c>
      <c r="E82" s="6">
        <f>IF(F82="Sell",-C82*D82,C82*D82)</f>
        <v>-19.243860999999999</v>
      </c>
      <c r="F82" s="2" t="s">
        <v>71</v>
      </c>
    </row>
    <row r="83" spans="1:6" x14ac:dyDescent="0.25">
      <c r="A83" s="11">
        <v>45957.470833333333</v>
      </c>
      <c r="B83" t="s">
        <v>14</v>
      </c>
      <c r="C83" s="2">
        <v>52.74</v>
      </c>
      <c r="D83" s="6">
        <v>0.44206000000000001</v>
      </c>
      <c r="E83" s="6">
        <f>IF(F83="Sell",-C83*D83,C83*D83)</f>
        <v>-23.3142444</v>
      </c>
      <c r="F83" s="2" t="s">
        <v>71</v>
      </c>
    </row>
    <row r="84" spans="1:6" x14ac:dyDescent="0.25">
      <c r="A84" s="11">
        <v>45957.470833333333</v>
      </c>
      <c r="B84" t="s">
        <v>49</v>
      </c>
      <c r="C84" s="2">
        <v>4.84</v>
      </c>
      <c r="D84" s="6">
        <v>5</v>
      </c>
      <c r="E84" s="6">
        <f>IF(F84="Sell",-C84*D84,C84*D84)</f>
        <v>-24.2</v>
      </c>
      <c r="F84" s="2" t="s">
        <v>71</v>
      </c>
    </row>
    <row r="85" spans="1:6" x14ac:dyDescent="0.25">
      <c r="A85" s="11">
        <v>45957.47152777778</v>
      </c>
      <c r="B85" t="s">
        <v>44</v>
      </c>
      <c r="C85" s="2">
        <v>52.95</v>
      </c>
      <c r="D85" s="6">
        <v>1</v>
      </c>
      <c r="E85" s="6">
        <f>IF(F85="Sell",-C85*D85,C85*D85)</f>
        <v>-52.95</v>
      </c>
      <c r="F85" s="2" t="s">
        <v>71</v>
      </c>
    </row>
    <row r="86" spans="1:6" x14ac:dyDescent="0.25">
      <c r="A86" s="11">
        <v>45958.512499999997</v>
      </c>
      <c r="B86" t="s">
        <v>18</v>
      </c>
      <c r="C86" s="2">
        <v>541.79</v>
      </c>
      <c r="D86" s="6">
        <v>0.96050999999999997</v>
      </c>
      <c r="E86" s="6">
        <f>IF(F86="Sell",-C86*D86,C86*D86)</f>
        <v>520.39471289999994</v>
      </c>
      <c r="F86" s="2" t="s">
        <v>70</v>
      </c>
    </row>
    <row r="87" spans="1:6" x14ac:dyDescent="0.25">
      <c r="A87" s="11">
        <v>45958.515277777777</v>
      </c>
      <c r="B87" t="s">
        <v>35</v>
      </c>
      <c r="C87" s="2">
        <v>89.79</v>
      </c>
      <c r="D87" s="6">
        <v>2.65</v>
      </c>
      <c r="E87" s="6">
        <f>IF(F87="Sell",-C87*D87,C87*D87)</f>
        <v>237.9435</v>
      </c>
      <c r="F87" s="2" t="s">
        <v>70</v>
      </c>
    </row>
    <row r="88" spans="1:6" x14ac:dyDescent="0.25">
      <c r="A88" s="11">
        <v>45958.517361111109</v>
      </c>
      <c r="B88" t="s">
        <v>21</v>
      </c>
      <c r="C88" s="2">
        <v>266.82</v>
      </c>
      <c r="D88" s="6">
        <v>1.2</v>
      </c>
      <c r="E88" s="6">
        <f>IF(F88="Sell",-C88*D88,C88*D88)</f>
        <v>320.18399999999997</v>
      </c>
      <c r="F88" s="2" t="s">
        <v>70</v>
      </c>
    </row>
    <row r="89" spans="1:6" x14ac:dyDescent="0.25">
      <c r="A89" s="11">
        <v>45958.520138888889</v>
      </c>
      <c r="B89" t="s">
        <v>31</v>
      </c>
      <c r="C89" s="2">
        <v>188.92</v>
      </c>
      <c r="D89" s="6">
        <v>0.12581000000000001</v>
      </c>
      <c r="E89" s="6">
        <f>IF(F89="Sell",-C89*D89,C89*D89)</f>
        <v>-23.7680252</v>
      </c>
      <c r="F89" s="2" t="s">
        <v>71</v>
      </c>
    </row>
    <row r="90" spans="1:6" x14ac:dyDescent="0.25">
      <c r="A90" s="11">
        <v>45958.522222222222</v>
      </c>
      <c r="B90" t="s">
        <v>17</v>
      </c>
      <c r="C90" s="2">
        <v>465.39</v>
      </c>
      <c r="D90" s="6">
        <v>5.8790000000000002E-2</v>
      </c>
      <c r="E90" s="6">
        <f>IF(F90="Sell",-C90*D90,C90*D90)</f>
        <v>-27.360278099999999</v>
      </c>
      <c r="F90" s="2" t="s">
        <v>71</v>
      </c>
    </row>
    <row r="91" spans="1:6" x14ac:dyDescent="0.25">
      <c r="A91" s="11">
        <v>45958.522222222222</v>
      </c>
      <c r="B91" t="s">
        <v>15</v>
      </c>
      <c r="C91" s="2">
        <v>51.12</v>
      </c>
      <c r="D91" s="6">
        <v>0.55984</v>
      </c>
      <c r="E91" s="6">
        <f>IF(F91="Sell",-C91*D91,C91*D91)</f>
        <v>-28.619020799999998</v>
      </c>
      <c r="F91" s="2" t="s">
        <v>71</v>
      </c>
    </row>
    <row r="92" spans="1:6" x14ac:dyDescent="0.25">
      <c r="A92" s="11">
        <v>45958.529166666667</v>
      </c>
      <c r="B92" t="s">
        <v>53</v>
      </c>
      <c r="C92" s="2">
        <v>55.54</v>
      </c>
      <c r="D92" s="6">
        <v>3</v>
      </c>
      <c r="E92" s="6">
        <f>IF(F92="Sell",-C92*D92,C92*D92)</f>
        <v>166.62</v>
      </c>
      <c r="F92" s="2" t="s">
        <v>70</v>
      </c>
    </row>
    <row r="93" spans="1:6" x14ac:dyDescent="0.25">
      <c r="A93" s="11">
        <v>45965.642361111109</v>
      </c>
      <c r="B93" t="s">
        <v>6</v>
      </c>
      <c r="C93" s="2">
        <v>57.69</v>
      </c>
      <c r="D93" s="6">
        <v>1.84</v>
      </c>
      <c r="E93" s="6">
        <f>IF(F93="Sell",-C93*D93,C93*D93)</f>
        <v>106.14960000000001</v>
      </c>
      <c r="F93" s="2" t="s">
        <v>70</v>
      </c>
    </row>
    <row r="94" spans="1:6" x14ac:dyDescent="0.25">
      <c r="A94" s="11">
        <v>45974.67291666667</v>
      </c>
      <c r="B94" t="s">
        <v>6</v>
      </c>
      <c r="C94" s="2">
        <v>55.85</v>
      </c>
      <c r="D94" s="6">
        <v>0.69955000000000001</v>
      </c>
      <c r="E94" s="6">
        <f>IF(F94="Sell",-C94*D94,C94*D94)</f>
        <v>39.069867500000001</v>
      </c>
      <c r="F94" s="2" t="s">
        <v>70</v>
      </c>
    </row>
    <row r="95" spans="1:6" x14ac:dyDescent="0.25">
      <c r="A95" s="11">
        <v>46002.439583333333</v>
      </c>
      <c r="B95" t="s">
        <v>34</v>
      </c>
      <c r="C95" s="2">
        <v>41.27</v>
      </c>
      <c r="D95" s="6">
        <v>2.08</v>
      </c>
      <c r="E95" s="6">
        <f>IF(F95="Sell",-C95*D95,C95*D95)</f>
        <v>85.841600000000014</v>
      </c>
      <c r="F95" s="2" t="s">
        <v>70</v>
      </c>
    </row>
    <row r="96" spans="1:6" x14ac:dyDescent="0.25">
      <c r="A96" s="11">
        <v>46002.442361111112</v>
      </c>
      <c r="B96" t="s">
        <v>12</v>
      </c>
      <c r="C96" s="2">
        <v>685.2</v>
      </c>
      <c r="D96" s="6">
        <v>0.72970000000000002</v>
      </c>
      <c r="E96" s="6">
        <f>IF(F96="Sell",-C96*D96,C96*D96)</f>
        <v>499.99044000000004</v>
      </c>
      <c r="F96" s="2" t="s">
        <v>70</v>
      </c>
    </row>
    <row r="97" spans="1:6" x14ac:dyDescent="0.25">
      <c r="A97" s="11">
        <v>46002.443749999999</v>
      </c>
      <c r="B97" t="s">
        <v>6</v>
      </c>
      <c r="C97" s="2">
        <v>51.34</v>
      </c>
      <c r="D97" s="6">
        <v>2.41</v>
      </c>
      <c r="E97" s="6">
        <f>IF(F97="Sell",-C97*D97,C97*D97)</f>
        <v>123.72940000000001</v>
      </c>
      <c r="F97" s="2" t="s">
        <v>70</v>
      </c>
    </row>
    <row r="98" spans="1:6" x14ac:dyDescent="0.25">
      <c r="A98" s="11">
        <v>46002.446527777778</v>
      </c>
      <c r="B98" t="s">
        <v>8</v>
      </c>
      <c r="C98" s="2">
        <v>24.08</v>
      </c>
      <c r="D98" s="6">
        <v>6.77</v>
      </c>
      <c r="E98" s="6">
        <f>IF(F98="Sell",-C98*D98,C98*D98)</f>
        <v>163.02159999999998</v>
      </c>
      <c r="F98" s="2" t="s">
        <v>70</v>
      </c>
    </row>
    <row r="99" spans="1:6" x14ac:dyDescent="0.25">
      <c r="A99" s="11">
        <v>46008.648611111108</v>
      </c>
      <c r="B99" t="s">
        <v>8</v>
      </c>
      <c r="C99" s="2">
        <v>21.11</v>
      </c>
      <c r="D99" s="6">
        <v>2</v>
      </c>
      <c r="E99" s="6">
        <f>IF(F99="Sell",-C99*D99,C99*D99)</f>
        <v>42.22</v>
      </c>
      <c r="F99" s="2" t="s">
        <v>70</v>
      </c>
    </row>
    <row r="100" spans="1:6" x14ac:dyDescent="0.25">
      <c r="A100" s="11">
        <v>46008.650694444441</v>
      </c>
      <c r="B100" t="s">
        <v>6</v>
      </c>
      <c r="C100" s="2">
        <v>48.49</v>
      </c>
      <c r="D100" s="6">
        <v>1.79</v>
      </c>
      <c r="E100" s="6">
        <f>IF(F100="Sell",-C100*D100,C100*D100)</f>
        <v>86.7971</v>
      </c>
      <c r="F100" s="2" t="s">
        <v>70</v>
      </c>
    </row>
    <row r="101" spans="1:6" x14ac:dyDescent="0.25">
      <c r="A101" s="11">
        <v>46020.463888888888</v>
      </c>
      <c r="B101" t="s">
        <v>46</v>
      </c>
      <c r="C101" s="2">
        <v>59.54</v>
      </c>
      <c r="D101" s="6">
        <v>1</v>
      </c>
      <c r="E101" s="6">
        <f>IF(F101="Sell",-C101*D101,C101*D101)</f>
        <v>-59.54</v>
      </c>
      <c r="F101" s="2" t="s">
        <v>71</v>
      </c>
    </row>
    <row r="102" spans="1:6" x14ac:dyDescent="0.25">
      <c r="A102" s="11">
        <v>46021.472916666666</v>
      </c>
      <c r="B102" t="s">
        <v>16</v>
      </c>
      <c r="C102" s="2">
        <v>5.69</v>
      </c>
      <c r="D102" s="6">
        <v>9.9</v>
      </c>
      <c r="E102" s="6">
        <f>IF(F102="Sell",-C102*D102,C102*D102)</f>
        <v>56.331000000000003</v>
      </c>
      <c r="F102" s="2" t="s">
        <v>70</v>
      </c>
    </row>
    <row r="103" spans="1:6" x14ac:dyDescent="0.25">
      <c r="A103" s="11">
        <v>46027.567361111112</v>
      </c>
      <c r="B103" t="s">
        <v>45</v>
      </c>
      <c r="C103" s="2">
        <v>11.24</v>
      </c>
      <c r="D103" s="6">
        <v>1.56</v>
      </c>
      <c r="E103" s="6">
        <f>IF(F103="Sell",-C103*D103,C103*D103)</f>
        <v>-17.534400000000002</v>
      </c>
      <c r="F103" s="2" t="s">
        <v>71</v>
      </c>
    </row>
    <row r="104" spans="1:6" x14ac:dyDescent="0.25">
      <c r="A104" s="11">
        <v>46027.568055555559</v>
      </c>
      <c r="B104" t="s">
        <v>22</v>
      </c>
      <c r="C104" s="2">
        <v>233.54</v>
      </c>
      <c r="D104" s="6">
        <v>0.13278000000000001</v>
      </c>
      <c r="E104" s="6">
        <f>IF(F104="Sell",-C104*D104,C104*D104)</f>
        <v>-31.009441200000001</v>
      </c>
      <c r="F104" s="2" t="s">
        <v>71</v>
      </c>
    </row>
    <row r="105" spans="1:6" x14ac:dyDescent="0.25">
      <c r="A105" s="11">
        <v>46027.568749999999</v>
      </c>
      <c r="B105" t="s">
        <v>48</v>
      </c>
      <c r="C105" s="2">
        <v>36.83</v>
      </c>
      <c r="D105" s="6">
        <v>1</v>
      </c>
      <c r="E105" s="6">
        <f>IF(F105="Sell",-C105*D105,C105*D105)</f>
        <v>-36.83</v>
      </c>
      <c r="F105" s="2" t="s">
        <v>71</v>
      </c>
    </row>
    <row r="106" spans="1:6" x14ac:dyDescent="0.25">
      <c r="A106" s="11">
        <v>46029.449305555558</v>
      </c>
      <c r="B106" t="s">
        <v>24</v>
      </c>
      <c r="C106" s="2">
        <v>100.39</v>
      </c>
      <c r="D106" s="6">
        <v>1.07</v>
      </c>
      <c r="E106" s="6">
        <f>IF(F106="Sell",-C106*D106,C106*D106)</f>
        <v>-107.41730000000001</v>
      </c>
      <c r="F106" s="2" t="s">
        <v>71</v>
      </c>
    </row>
    <row r="107" spans="1:6" x14ac:dyDescent="0.25">
      <c r="A107" s="11">
        <v>46034.47152777778</v>
      </c>
      <c r="B107" t="s">
        <v>42</v>
      </c>
      <c r="C107" s="2">
        <v>625.9</v>
      </c>
      <c r="D107" s="6">
        <v>0.29479</v>
      </c>
      <c r="E107" s="6">
        <f>IF(F107="Sell",-C107*D107,C107*D107)</f>
        <v>-184.509061</v>
      </c>
      <c r="F107" s="2" t="s">
        <v>71</v>
      </c>
    </row>
    <row r="108" spans="1:6" x14ac:dyDescent="0.25">
      <c r="A108" s="11">
        <v>46034.47152777778</v>
      </c>
      <c r="B108" t="s">
        <v>9</v>
      </c>
      <c r="C108" s="2">
        <v>342</v>
      </c>
      <c r="D108" s="6">
        <v>1.25</v>
      </c>
      <c r="E108" s="6">
        <f>IF(F108="Sell",-C108*D108,C108*D108)</f>
        <v>-427.5</v>
      </c>
      <c r="F108" s="2" t="s">
        <v>71</v>
      </c>
    </row>
    <row r="109" spans="1:6" x14ac:dyDescent="0.25">
      <c r="A109" s="11">
        <v>46035.44027777778</v>
      </c>
      <c r="B109" t="s">
        <v>34</v>
      </c>
      <c r="C109" s="2">
        <v>49.47</v>
      </c>
      <c r="D109" s="6">
        <v>5.29</v>
      </c>
      <c r="E109" s="6">
        <f>IF(F109="Sell",-C109*D109,C109*D109)</f>
        <v>261.69630000000001</v>
      </c>
      <c r="F109" s="2" t="s">
        <v>70</v>
      </c>
    </row>
    <row r="110" spans="1:6" x14ac:dyDescent="0.25">
      <c r="A110" s="11">
        <v>46035.441666666666</v>
      </c>
      <c r="B110" t="s">
        <v>52</v>
      </c>
      <c r="C110" s="2">
        <v>56.67</v>
      </c>
      <c r="D110" s="6">
        <v>4.8600000000000003</v>
      </c>
      <c r="E110" s="6">
        <f>IF(F110="Sell",-C110*D110,C110*D110)</f>
        <v>275.4162</v>
      </c>
      <c r="F110" s="2" t="s">
        <v>70</v>
      </c>
    </row>
    <row r="111" spans="1:6" x14ac:dyDescent="0.25">
      <c r="A111" s="11">
        <v>46036.448611111111</v>
      </c>
      <c r="B111" t="s">
        <v>54</v>
      </c>
      <c r="C111" s="2">
        <v>183.13</v>
      </c>
      <c r="D111" s="6">
        <v>1.47</v>
      </c>
      <c r="E111" s="6">
        <f>IF(F111="Sell",-C111*D111,C111*D111)</f>
        <v>269.2011</v>
      </c>
      <c r="F111" s="2" t="s">
        <v>70</v>
      </c>
    </row>
    <row r="112" spans="1:6" x14ac:dyDescent="0.25">
      <c r="A112" s="11">
        <v>46042.44027777778</v>
      </c>
      <c r="B112" t="s">
        <v>33</v>
      </c>
      <c r="C112" s="2">
        <v>27.75</v>
      </c>
      <c r="D112" s="6">
        <v>10.81</v>
      </c>
      <c r="E112" s="6">
        <f>IF(F112="Sell",-C112*D112,C112*D112)</f>
        <v>299.97750000000002</v>
      </c>
      <c r="F112" s="2" t="s">
        <v>70</v>
      </c>
    </row>
    <row r="113" spans="1:6" x14ac:dyDescent="0.25">
      <c r="A113" s="11">
        <v>46042.441666666666</v>
      </c>
      <c r="B113" t="s">
        <v>13</v>
      </c>
      <c r="C113" s="2">
        <v>14.93</v>
      </c>
      <c r="D113" s="6">
        <v>20.09</v>
      </c>
      <c r="E113" s="6">
        <f>IF(F113="Sell",-C113*D113,C113*D113)</f>
        <v>299.94369999999998</v>
      </c>
      <c r="F113" s="2" t="s">
        <v>70</v>
      </c>
    </row>
    <row r="114" spans="1:6" x14ac:dyDescent="0.25">
      <c r="A114" s="11">
        <v>46042.45</v>
      </c>
      <c r="B114" t="s">
        <v>55</v>
      </c>
      <c r="C114" s="2">
        <v>376.93</v>
      </c>
      <c r="D114" s="6">
        <v>1</v>
      </c>
      <c r="E114" s="6">
        <f>IF(F114="Sell",-C114*D114,C114*D114)</f>
        <v>376.93</v>
      </c>
      <c r="F114" s="2" t="s">
        <v>70</v>
      </c>
    </row>
    <row r="115" spans="1:6" x14ac:dyDescent="0.25">
      <c r="A115" s="11">
        <v>46044.496527777781</v>
      </c>
      <c r="B115" t="s">
        <v>6</v>
      </c>
      <c r="C115" s="2">
        <v>50.4</v>
      </c>
      <c r="D115" s="6">
        <v>9.9</v>
      </c>
      <c r="E115" s="6">
        <f>IF(F115="Sell",-C115*D115,C115*D115)</f>
        <v>-498.96</v>
      </c>
      <c r="F115" s="2" t="s">
        <v>71</v>
      </c>
    </row>
    <row r="116" spans="1:6" x14ac:dyDescent="0.25">
      <c r="A116" s="11">
        <v>46044.49722222222</v>
      </c>
      <c r="B116" t="s">
        <v>8</v>
      </c>
      <c r="C116" s="2">
        <v>22.18</v>
      </c>
      <c r="D116" s="6">
        <v>15.11</v>
      </c>
      <c r="E116" s="6">
        <f>IF(F116="Sell",-C116*D116,C116*D116)</f>
        <v>-335.13979999999998</v>
      </c>
      <c r="F116" s="2" t="s">
        <v>71</v>
      </c>
    </row>
    <row r="117" spans="1:6" x14ac:dyDescent="0.25">
      <c r="A117" s="11">
        <v>46045.445833333331</v>
      </c>
      <c r="B117" t="s">
        <v>56</v>
      </c>
      <c r="C117" s="2">
        <v>70</v>
      </c>
      <c r="D117" s="6">
        <v>5.71</v>
      </c>
      <c r="E117" s="6">
        <f>IF(F117="Sell",-C117*D117,C117*D117)</f>
        <v>399.7</v>
      </c>
      <c r="F117" s="2" t="s">
        <v>70</v>
      </c>
    </row>
    <row r="118" spans="1:6" x14ac:dyDescent="0.25">
      <c r="A118" s="11">
        <v>46045.493055555555</v>
      </c>
      <c r="B118" t="s">
        <v>19</v>
      </c>
      <c r="C118" s="2">
        <v>659.79</v>
      </c>
      <c r="D118" s="6">
        <v>0.78064</v>
      </c>
      <c r="E118" s="6">
        <f>IF(F118="Sell",-C118*D118,C118*D118)</f>
        <v>515.05846559999998</v>
      </c>
      <c r="F118" s="2" t="s">
        <v>70</v>
      </c>
    </row>
    <row r="119" spans="1:6" x14ac:dyDescent="0.25">
      <c r="A119" s="11">
        <v>46048.572222222225</v>
      </c>
      <c r="B119" t="s">
        <v>35</v>
      </c>
      <c r="C119" s="2">
        <v>80.680000000000007</v>
      </c>
      <c r="D119" s="6">
        <v>4</v>
      </c>
      <c r="E119" s="6">
        <f>IF(F119="Sell",-C119*D119,C119*D119)</f>
        <v>-322.72000000000003</v>
      </c>
      <c r="F119" s="2" t="s">
        <v>71</v>
      </c>
    </row>
    <row r="120" spans="1:6" x14ac:dyDescent="0.25">
      <c r="A120" s="11">
        <v>46049.448611111111</v>
      </c>
      <c r="B120" t="s">
        <v>57</v>
      </c>
      <c r="C120" s="2">
        <v>89.38</v>
      </c>
      <c r="D120" s="6">
        <v>3.6</v>
      </c>
      <c r="E120" s="6">
        <f>IF(F120="Sell",-C120*D120,C120*D120)</f>
        <v>321.76799999999997</v>
      </c>
      <c r="F120" s="2" t="s">
        <v>70</v>
      </c>
    </row>
    <row r="121" spans="1:6" x14ac:dyDescent="0.25">
      <c r="A121" s="11">
        <v>46050.563888888886</v>
      </c>
      <c r="B121" t="s">
        <v>54</v>
      </c>
      <c r="C121" s="2">
        <v>159.22999999999999</v>
      </c>
      <c r="D121" s="6">
        <v>1.47</v>
      </c>
      <c r="E121" s="6">
        <f>IF(F121="Sell",-C121*D121,C121*D121)</f>
        <v>-234.06809999999999</v>
      </c>
      <c r="F121" s="2" t="s">
        <v>71</v>
      </c>
    </row>
    <row r="122" spans="1:6" x14ac:dyDescent="0.25">
      <c r="A122" s="11">
        <v>46055.650694444441</v>
      </c>
      <c r="B122" t="s">
        <v>19</v>
      </c>
      <c r="C122" s="2">
        <v>711.77</v>
      </c>
      <c r="D122" s="6">
        <v>0.91229000000000005</v>
      </c>
      <c r="E122" s="6">
        <f>IF(F122="Sell",-C122*D122,C122*D122)</f>
        <v>-649.34065329999999</v>
      </c>
      <c r="F122" s="2" t="s">
        <v>71</v>
      </c>
    </row>
    <row r="123" spans="1:6" x14ac:dyDescent="0.25">
      <c r="A123" s="11">
        <v>46055.652083333334</v>
      </c>
      <c r="B123" t="s">
        <v>16</v>
      </c>
      <c r="C123" s="2">
        <v>4.96</v>
      </c>
      <c r="D123" s="6">
        <v>47.2</v>
      </c>
      <c r="E123" s="6">
        <f>IF(F123="Sell",-C123*D123,C123*D123)</f>
        <v>234.11200000000002</v>
      </c>
      <c r="F123" s="2" t="s">
        <v>70</v>
      </c>
    </row>
    <row r="124" spans="1:6" x14ac:dyDescent="0.25">
      <c r="A124" s="11">
        <v>46059.484722222223</v>
      </c>
      <c r="B124" t="s">
        <v>53</v>
      </c>
      <c r="C124" s="2">
        <v>59.58</v>
      </c>
      <c r="D124" s="6">
        <v>10.89</v>
      </c>
      <c r="E124" s="6">
        <f>IF(F124="Sell",-C124*D124,C124*D124)</f>
        <v>648.82619999999997</v>
      </c>
      <c r="F124" s="2" t="s">
        <v>70</v>
      </c>
    </row>
    <row r="125" spans="1:6" x14ac:dyDescent="0.25">
      <c r="A125" s="11">
        <v>46083.456250000003</v>
      </c>
      <c r="B125" t="s">
        <v>58</v>
      </c>
      <c r="C125" s="2">
        <v>160.21</v>
      </c>
      <c r="D125" s="6">
        <v>3</v>
      </c>
      <c r="E125" s="6">
        <f>IF(F125="Sell",-C125*D125,C125*D125)</f>
        <v>480.63</v>
      </c>
      <c r="F125" s="2" t="s">
        <v>70</v>
      </c>
    </row>
    <row r="126" spans="1:6" x14ac:dyDescent="0.25">
      <c r="A126" s="11">
        <v>46086.664583333331</v>
      </c>
      <c r="B126" t="s">
        <v>27</v>
      </c>
      <c r="C126" s="2">
        <v>98.34</v>
      </c>
      <c r="D126" s="6">
        <v>1.77</v>
      </c>
      <c r="E126" s="6">
        <f>IF(F126="Sell",-C126*D126,C126*D126)</f>
        <v>174.06180000000001</v>
      </c>
      <c r="F126" s="2" t="s">
        <v>70</v>
      </c>
    </row>
    <row r="127" spans="1:6" x14ac:dyDescent="0.25">
      <c r="A127" s="11">
        <v>46087.525000000001</v>
      </c>
      <c r="B127" t="s">
        <v>33</v>
      </c>
      <c r="C127" s="2">
        <v>20.58</v>
      </c>
      <c r="D127" s="6">
        <v>10.81</v>
      </c>
      <c r="E127" s="6">
        <f>IF(F127="Sell",-C127*D127,C127*D127)</f>
        <v>-222.46979999999999</v>
      </c>
      <c r="F127" s="2" t="s">
        <v>71</v>
      </c>
    </row>
    <row r="128" spans="1:6" x14ac:dyDescent="0.25">
      <c r="A128" s="11">
        <v>46087.525694444441</v>
      </c>
      <c r="B128" t="s">
        <v>57</v>
      </c>
      <c r="C128" s="2">
        <v>80.78</v>
      </c>
      <c r="D128" s="6">
        <v>3.6</v>
      </c>
      <c r="E128" s="6">
        <f>IF(F128="Sell",-C128*D128,C128*D128)</f>
        <v>-290.80799999999999</v>
      </c>
      <c r="F128" s="2" t="s">
        <v>71</v>
      </c>
    </row>
    <row r="129" spans="1:6" x14ac:dyDescent="0.25">
      <c r="A129" s="11">
        <v>46087.526388888888</v>
      </c>
      <c r="B129" t="s">
        <v>56</v>
      </c>
      <c r="C129" s="2">
        <v>81.02</v>
      </c>
      <c r="D129" s="6">
        <v>5.71</v>
      </c>
      <c r="E129" s="6">
        <f>IF(F129="Sell",-C129*D129,C129*D129)</f>
        <v>-462.62419999999997</v>
      </c>
      <c r="F129" s="2" t="s">
        <v>71</v>
      </c>
    </row>
    <row r="130" spans="1:6" x14ac:dyDescent="0.25">
      <c r="A130" s="11">
        <v>46087.527777777781</v>
      </c>
      <c r="B130" t="s">
        <v>52</v>
      </c>
      <c r="C130" s="2">
        <v>59.68</v>
      </c>
      <c r="D130" s="6">
        <v>8.81</v>
      </c>
      <c r="E130" s="6">
        <f>IF(F130="Sell",-C130*D130,C130*D130)</f>
        <v>-525.7808</v>
      </c>
      <c r="F130" s="2" t="s">
        <v>71</v>
      </c>
    </row>
    <row r="131" spans="1:6" x14ac:dyDescent="0.25">
      <c r="A131" s="11">
        <v>46087.52847222222</v>
      </c>
      <c r="B131" t="s">
        <v>13</v>
      </c>
      <c r="C131" s="2">
        <v>16.579999999999998</v>
      </c>
      <c r="D131" s="6">
        <v>20.09</v>
      </c>
      <c r="E131" s="6">
        <f>IF(F131="Sell",-C131*D131,C131*D131)</f>
        <v>-333.09219999999999</v>
      </c>
      <c r="F131" s="2" t="s">
        <v>71</v>
      </c>
    </row>
    <row r="132" spans="1:6" x14ac:dyDescent="0.25">
      <c r="A132" s="11">
        <v>46087.52847222222</v>
      </c>
      <c r="B132" t="s">
        <v>34</v>
      </c>
      <c r="C132" s="2">
        <v>45.39</v>
      </c>
      <c r="D132" s="6">
        <v>10.29</v>
      </c>
      <c r="E132" s="6">
        <f>IF(F132="Sell",-C132*D132,C132*D132)</f>
        <v>-467.06309999999996</v>
      </c>
      <c r="F132" s="2" t="s">
        <v>71</v>
      </c>
    </row>
    <row r="133" spans="1:6" x14ac:dyDescent="0.25">
      <c r="A133" s="11">
        <v>46087.529166666667</v>
      </c>
      <c r="B133" t="s">
        <v>21</v>
      </c>
      <c r="C133" s="2">
        <v>299.41000000000003</v>
      </c>
      <c r="D133" s="6">
        <v>2</v>
      </c>
      <c r="E133" s="6">
        <f>IF(F133="Sell",-C133*D133,C133*D133)</f>
        <v>-598.82000000000005</v>
      </c>
      <c r="F133" s="2" t="s">
        <v>71</v>
      </c>
    </row>
    <row r="134" spans="1:6" x14ac:dyDescent="0.25">
      <c r="A134" s="11">
        <v>46090.397916666669</v>
      </c>
      <c r="B134" t="s">
        <v>53</v>
      </c>
      <c r="C134" s="2">
        <v>56.81</v>
      </c>
      <c r="D134" s="6">
        <v>13.92</v>
      </c>
      <c r="E134" s="6">
        <f>IF(F134="Sell",-C134*D134,C134*D134)</f>
        <v>-790.79520000000002</v>
      </c>
      <c r="F134" s="2" t="s">
        <v>71</v>
      </c>
    </row>
    <row r="135" spans="1:6" x14ac:dyDescent="0.25">
      <c r="A135" s="11">
        <v>46090.400000000001</v>
      </c>
      <c r="B135" t="s">
        <v>27</v>
      </c>
      <c r="C135" s="2">
        <v>116.49</v>
      </c>
      <c r="D135" s="6">
        <v>6.76</v>
      </c>
      <c r="E135" s="6">
        <f>IF(F135="Sell",-C135*D135,C135*D135)</f>
        <v>787.47239999999999</v>
      </c>
      <c r="F135" s="2" t="s">
        <v>70</v>
      </c>
    </row>
    <row r="136" spans="1:6" x14ac:dyDescent="0.25">
      <c r="A136" s="11">
        <v>46090.401388888888</v>
      </c>
      <c r="B136" t="s">
        <v>60</v>
      </c>
      <c r="C136" s="2">
        <v>37.89</v>
      </c>
      <c r="D136" s="6">
        <v>13.19</v>
      </c>
      <c r="E136" s="6">
        <f>IF(F136="Sell",-C136*D136,C136*D136)</f>
        <v>499.76909999999998</v>
      </c>
      <c r="F136" s="2" t="s">
        <v>70</v>
      </c>
    </row>
    <row r="137" spans="1:6" x14ac:dyDescent="0.25">
      <c r="A137" s="11">
        <v>46090.402083333334</v>
      </c>
      <c r="B137" t="s">
        <v>59</v>
      </c>
      <c r="C137" s="2">
        <v>63.36</v>
      </c>
      <c r="D137" s="6">
        <v>7.89</v>
      </c>
      <c r="E137" s="6">
        <f>IF(F137="Sell",-C137*D137,C137*D137)</f>
        <v>499.91039999999998</v>
      </c>
      <c r="F137" s="2" t="s">
        <v>70</v>
      </c>
    </row>
    <row r="138" spans="1:6" x14ac:dyDescent="0.25">
      <c r="A138" s="11">
        <v>46090.65347222222</v>
      </c>
      <c r="B138" t="s">
        <v>12</v>
      </c>
      <c r="C138" s="2">
        <v>677.47</v>
      </c>
      <c r="D138" s="6">
        <v>1.64</v>
      </c>
      <c r="E138" s="6">
        <f>IF(F138="Sell",-C138*D138,C138*D138)</f>
        <v>1111.0508</v>
      </c>
      <c r="F138" s="2" t="s">
        <v>70</v>
      </c>
    </row>
    <row r="139" spans="1:6" x14ac:dyDescent="0.25">
      <c r="A139" s="11">
        <v>46091.431944444441</v>
      </c>
      <c r="B139" t="s">
        <v>58</v>
      </c>
      <c r="C139" s="2">
        <v>158.78</v>
      </c>
      <c r="D139" s="6">
        <v>3</v>
      </c>
      <c r="E139" s="6">
        <f>IF(F139="Sell",-C139*D139,C139*D139)</f>
        <v>-476.34000000000003</v>
      </c>
      <c r="F139" s="2" t="s">
        <v>71</v>
      </c>
    </row>
    <row r="140" spans="1:6" x14ac:dyDescent="0.25">
      <c r="A140" s="11">
        <v>46091.434027777781</v>
      </c>
      <c r="B140" t="s">
        <v>60</v>
      </c>
      <c r="C140" s="2">
        <v>37.1</v>
      </c>
      <c r="D140" s="6">
        <v>13.19</v>
      </c>
      <c r="E140" s="6">
        <f>IF(F140="Sell",-C140*D140,C140*D140)</f>
        <v>-489.34899999999999</v>
      </c>
      <c r="F140" s="2" t="s">
        <v>71</v>
      </c>
    </row>
    <row r="141" spans="1:6" x14ac:dyDescent="0.25">
      <c r="A141" s="11">
        <v>46091.436805555553</v>
      </c>
      <c r="B141" t="s">
        <v>55</v>
      </c>
      <c r="C141" s="2">
        <v>410</v>
      </c>
      <c r="D141" s="6">
        <v>1.43</v>
      </c>
      <c r="E141" s="6">
        <f>IF(F141="Sell",-C141*D141,C141*D141)</f>
        <v>586.29999999999995</v>
      </c>
      <c r="F141" s="2" t="s">
        <v>70</v>
      </c>
    </row>
    <row r="142" spans="1:6" x14ac:dyDescent="0.25">
      <c r="A142" s="11">
        <v>46091.449305555558</v>
      </c>
      <c r="B142" t="s">
        <v>61</v>
      </c>
      <c r="C142" s="2">
        <v>90.02</v>
      </c>
      <c r="D142" s="6">
        <v>5</v>
      </c>
      <c r="E142" s="6">
        <f>IF(F142="Sell",-C142*D142,C142*D142)</f>
        <v>450.09999999999997</v>
      </c>
      <c r="F142" s="2" t="s">
        <v>70</v>
      </c>
    </row>
    <row r="143" spans="1:6" x14ac:dyDescent="0.25">
      <c r="A143" s="11">
        <v>46091.54583333333</v>
      </c>
      <c r="B143" t="s">
        <v>59</v>
      </c>
      <c r="C143" s="2">
        <v>59.09</v>
      </c>
      <c r="D143" s="6">
        <v>7.89</v>
      </c>
      <c r="E143" s="6">
        <f>IF(F143="Sell",-C143*D143,C143*D143)</f>
        <v>-466.2201</v>
      </c>
      <c r="F143" s="2" t="s">
        <v>71</v>
      </c>
    </row>
    <row r="144" spans="1:6" x14ac:dyDescent="0.25">
      <c r="A144" s="11">
        <v>46092.438194444447</v>
      </c>
      <c r="B144" t="s">
        <v>6</v>
      </c>
      <c r="C144" s="2">
        <v>40.11</v>
      </c>
      <c r="D144" s="6">
        <v>24.92</v>
      </c>
      <c r="E144" s="6">
        <f>IF(F144="Sell",-C144*D144,C144*D144)</f>
        <v>999.5412</v>
      </c>
      <c r="F144" s="2" t="s">
        <v>70</v>
      </c>
    </row>
    <row r="145" spans="1:6" x14ac:dyDescent="0.25">
      <c r="A145" s="11">
        <v>46100.508333333331</v>
      </c>
      <c r="B145" t="s">
        <v>61</v>
      </c>
      <c r="C145" s="2">
        <v>71.52</v>
      </c>
      <c r="D145" s="6">
        <v>5</v>
      </c>
      <c r="E145" s="6">
        <f>IF(F145="Sell",-C145*D145,C145*D145)</f>
        <v>-357.59999999999997</v>
      </c>
      <c r="F145" s="2" t="s">
        <v>71</v>
      </c>
    </row>
    <row r="146" spans="1:6" x14ac:dyDescent="0.25">
      <c r="A146" s="11">
        <v>46100.509027777778</v>
      </c>
      <c r="B146" t="s">
        <v>59</v>
      </c>
      <c r="C146" s="2">
        <v>74.150000000000006</v>
      </c>
      <c r="D146" s="6">
        <v>7.21</v>
      </c>
      <c r="E146" s="6">
        <f>IF(F146="Sell",-C146*D146,C146*D146)</f>
        <v>534.62150000000008</v>
      </c>
      <c r="F146" s="2" t="s">
        <v>70</v>
      </c>
    </row>
    <row r="147" spans="1:6" x14ac:dyDescent="0.25">
      <c r="A147" s="11">
        <v>46113.460416666669</v>
      </c>
      <c r="B147" t="s">
        <v>27</v>
      </c>
      <c r="C147" s="2">
        <v>123.39</v>
      </c>
      <c r="D147" s="6">
        <v>8.5399999999999991</v>
      </c>
      <c r="E147" s="6">
        <f>IF(F147="Sell",-C147*D147,C147*D147)</f>
        <v>-1053.7505999999998</v>
      </c>
      <c r="F147" s="2" t="s">
        <v>71</v>
      </c>
    </row>
    <row r="148" spans="1:6" x14ac:dyDescent="0.25">
      <c r="A148" s="11">
        <v>46113.463194444441</v>
      </c>
      <c r="B148" t="s">
        <v>59</v>
      </c>
      <c r="C148" s="2">
        <v>71.459999999999994</v>
      </c>
      <c r="D148" s="6">
        <v>7.21</v>
      </c>
      <c r="E148" s="6">
        <f>IF(F148="Sell",-C148*D148,C148*D148)</f>
        <v>-515.22659999999996</v>
      </c>
      <c r="F148" s="2" t="s">
        <v>71</v>
      </c>
    </row>
    <row r="149" spans="1:6" x14ac:dyDescent="0.25">
      <c r="A149" s="11">
        <v>46113.464583333334</v>
      </c>
      <c r="B149" t="s">
        <v>16</v>
      </c>
      <c r="C149" s="2">
        <v>4.78</v>
      </c>
      <c r="D149" s="6">
        <v>74</v>
      </c>
      <c r="E149" s="6">
        <f>IF(F149="Sell",-C149*D149,C149*D149)</f>
        <v>353.72</v>
      </c>
      <c r="F149" s="2" t="s">
        <v>70</v>
      </c>
    </row>
    <row r="150" spans="1:6" x14ac:dyDescent="0.25">
      <c r="A150" s="11">
        <v>46113.46597222222</v>
      </c>
      <c r="B150" t="s">
        <v>61</v>
      </c>
      <c r="C150" s="2">
        <v>83.33</v>
      </c>
      <c r="D150" s="6">
        <v>6</v>
      </c>
      <c r="E150" s="6">
        <f>IF(F150="Sell",-C150*D150,C150*D150)</f>
        <v>499.98</v>
      </c>
      <c r="F150" s="2" t="s">
        <v>70</v>
      </c>
    </row>
    <row r="151" spans="1:6" x14ac:dyDescent="0.25">
      <c r="A151" s="11">
        <v>46128.462500000001</v>
      </c>
      <c r="B151" t="s">
        <v>43</v>
      </c>
      <c r="C151" s="2">
        <v>175.27</v>
      </c>
      <c r="D151" s="6">
        <v>3</v>
      </c>
      <c r="E151" s="6">
        <f>IF(F151="Sell",-C151*D151,C151*D151)</f>
        <v>525.81000000000006</v>
      </c>
      <c r="F151" s="2" t="s">
        <v>70</v>
      </c>
    </row>
    <row r="152" spans="1:6" x14ac:dyDescent="0.25">
      <c r="A152" s="11">
        <v>46128.463888888888</v>
      </c>
      <c r="B152" t="s">
        <v>62</v>
      </c>
      <c r="C152" s="2">
        <v>86.03</v>
      </c>
      <c r="D152" s="6">
        <v>7.42</v>
      </c>
      <c r="E152" s="6">
        <f>IF(F152="Sell",-C152*D152,C152*D152)</f>
        <v>638.34259999999995</v>
      </c>
      <c r="F152" s="2" t="s">
        <v>70</v>
      </c>
    </row>
    <row r="153" spans="1:6" x14ac:dyDescent="0.25">
      <c r="A153" s="11">
        <v>46150.423611111109</v>
      </c>
      <c r="B153" t="s">
        <v>16</v>
      </c>
      <c r="C153" s="2">
        <v>4.8899999999999997</v>
      </c>
      <c r="D153" s="6">
        <v>7.18</v>
      </c>
      <c r="E153" s="6">
        <f>IF(F153="Sell",-C153*D153,C153*D153)</f>
        <v>35.110199999999999</v>
      </c>
      <c r="F153" s="2" t="s">
        <v>70</v>
      </c>
    </row>
    <row r="154" spans="1:6" x14ac:dyDescent="0.25">
      <c r="A154" s="11">
        <v>46153.446527777778</v>
      </c>
      <c r="B154" t="s">
        <v>63</v>
      </c>
      <c r="C154" s="2">
        <v>91.94</v>
      </c>
      <c r="D154" s="6">
        <v>6.52</v>
      </c>
      <c r="E154" s="6">
        <f>IF(F154="Sell",-C154*D154,C154*D154)</f>
        <v>599.44879999999989</v>
      </c>
      <c r="F154" s="2" t="s">
        <v>70</v>
      </c>
    </row>
    <row r="155" spans="1:6" x14ac:dyDescent="0.25">
      <c r="A155" s="11">
        <v>46174.410416666666</v>
      </c>
      <c r="B155" t="s">
        <v>6</v>
      </c>
      <c r="C155" s="2">
        <v>40.549999999999997</v>
      </c>
      <c r="D155" s="6">
        <v>24.92</v>
      </c>
      <c r="E155" s="6">
        <f>IF(F155="Sell",-C155*D155,C155*D155)</f>
        <v>-1010.506</v>
      </c>
      <c r="F155" s="2" t="s">
        <v>71</v>
      </c>
    </row>
    <row r="156" spans="1:6" x14ac:dyDescent="0.25">
      <c r="A156" s="11">
        <v>46175.486111111109</v>
      </c>
      <c r="B156" t="s">
        <v>64</v>
      </c>
      <c r="C156" s="2">
        <v>231.27</v>
      </c>
      <c r="D156" s="6">
        <v>2.5</v>
      </c>
      <c r="E156" s="6">
        <f>IF(F156="Sell",-C156*D156,C156*D156)</f>
        <v>578.17500000000007</v>
      </c>
      <c r="F156" s="2" t="s">
        <v>70</v>
      </c>
    </row>
    <row r="157" spans="1:6" x14ac:dyDescent="0.25">
      <c r="A157" s="11">
        <v>46175.487500000003</v>
      </c>
      <c r="B157" t="s">
        <v>65</v>
      </c>
      <c r="C157" s="2">
        <v>103.72</v>
      </c>
      <c r="D157" s="6">
        <v>3.95</v>
      </c>
      <c r="E157" s="6">
        <f>IF(F157="Sell",-C157*D157,C157*D157)</f>
        <v>409.69400000000002</v>
      </c>
      <c r="F157" s="2" t="s">
        <v>70</v>
      </c>
    </row>
    <row r="158" spans="1:6" x14ac:dyDescent="0.25">
      <c r="A158" s="11">
        <v>46177.450694444444</v>
      </c>
      <c r="B158" t="s">
        <v>55</v>
      </c>
      <c r="C158" s="2">
        <v>992.87</v>
      </c>
      <c r="D158" s="6">
        <v>2.4300000000000002</v>
      </c>
      <c r="E158" s="6">
        <f>IF(F158="Sell",-C158*D158,C158*D158)</f>
        <v>-2412.6741000000002</v>
      </c>
      <c r="F158" s="2" t="s">
        <v>71</v>
      </c>
    </row>
    <row r="159" spans="1:6" x14ac:dyDescent="0.25">
      <c r="A159" s="11">
        <v>46181.434027777781</v>
      </c>
      <c r="B159" t="s">
        <v>66</v>
      </c>
      <c r="C159" s="2">
        <v>99.23</v>
      </c>
      <c r="D159" s="6">
        <v>10.07</v>
      </c>
      <c r="E159" s="6">
        <f>IF(F159="Sell",-C159*D159,C159*D159)</f>
        <v>999.24610000000007</v>
      </c>
      <c r="F159" s="2" t="s">
        <v>70</v>
      </c>
    </row>
    <row r="160" spans="1:6" x14ac:dyDescent="0.25">
      <c r="A160" s="11">
        <v>46181.43472222222</v>
      </c>
      <c r="B160" t="s">
        <v>67</v>
      </c>
      <c r="C160" s="2">
        <v>183.67</v>
      </c>
      <c r="D160" s="6">
        <v>3</v>
      </c>
      <c r="E160" s="6">
        <f>IF(F160="Sell",-C160*D160,C160*D160)</f>
        <v>551.01</v>
      </c>
      <c r="F160" s="2" t="s">
        <v>70</v>
      </c>
    </row>
    <row r="161" spans="1:6" x14ac:dyDescent="0.25">
      <c r="A161" s="11">
        <v>46204.443055555559</v>
      </c>
      <c r="B161" t="s">
        <v>18</v>
      </c>
      <c r="C161" s="2">
        <v>383.64</v>
      </c>
      <c r="D161" s="6">
        <v>2.3199999999999998</v>
      </c>
      <c r="E161" s="6">
        <f>IF(F161="Sell",-C161*D161,C161*D161)</f>
        <v>890.0447999999999</v>
      </c>
      <c r="F161" s="2" t="s">
        <v>70</v>
      </c>
    </row>
    <row r="162" spans="1:6" x14ac:dyDescent="0.25">
      <c r="A162" s="11">
        <v>46227.419444444444</v>
      </c>
      <c r="B162" t="s">
        <v>67</v>
      </c>
      <c r="C162" s="2">
        <v>161.18</v>
      </c>
      <c r="D162" s="6">
        <v>3</v>
      </c>
      <c r="E162" s="6">
        <f>IF(F162="Sell",-C162*D162,C162*D162)</f>
        <v>-483.54</v>
      </c>
      <c r="F162" s="2" t="s">
        <v>71</v>
      </c>
    </row>
    <row r="163" spans="1:6" x14ac:dyDescent="0.25">
      <c r="A163" s="11">
        <v>46230.398611111108</v>
      </c>
      <c r="B163" t="s">
        <v>16</v>
      </c>
      <c r="C163" s="2">
        <v>3.98</v>
      </c>
      <c r="D163" s="6">
        <v>121.42</v>
      </c>
      <c r="E163" s="6">
        <f>IF(F163="Sell",-C163*D163,C163*D163)</f>
        <v>483.2516</v>
      </c>
      <c r="F163" s="2" t="s">
        <v>70</v>
      </c>
    </row>
    <row r="164" spans="1:6" x14ac:dyDescent="0.25">
      <c r="A164" s="11">
        <v>46233.619444444441</v>
      </c>
      <c r="B164" t="s">
        <v>64</v>
      </c>
      <c r="C164" s="2">
        <v>232.31</v>
      </c>
      <c r="D164" s="6">
        <v>2.5</v>
      </c>
      <c r="E164" s="6">
        <f>IF(F164="Sell",-C164*D164,C164*D164)</f>
        <v>-580.77499999999998</v>
      </c>
      <c r="F164" s="2" t="s">
        <v>71</v>
      </c>
    </row>
    <row r="165" spans="1:6" x14ac:dyDescent="0.25">
      <c r="A165" s="11">
        <v>46233.624305555553</v>
      </c>
      <c r="B165" t="s">
        <v>63</v>
      </c>
      <c r="C165" s="2">
        <v>109.81</v>
      </c>
      <c r="D165" s="6">
        <v>5</v>
      </c>
      <c r="E165" s="6">
        <f>IF(F165="Sell",-C165*D165,C165*D165)</f>
        <v>549.04999999999995</v>
      </c>
      <c r="F165" s="2" t="s">
        <v>70</v>
      </c>
    </row>
    <row r="166" spans="1:6" x14ac:dyDescent="0.25">
      <c r="A166" s="11">
        <v>46233.625</v>
      </c>
      <c r="B166" t="s">
        <v>43</v>
      </c>
      <c r="C166" s="2">
        <v>126.71</v>
      </c>
      <c r="D166" s="6">
        <v>5</v>
      </c>
      <c r="E166" s="6">
        <f>IF(F166="Sell",-C166*D166,C166*D166)</f>
        <v>633.54999999999995</v>
      </c>
      <c r="F166" s="2" t="s">
        <v>70</v>
      </c>
    </row>
    <row r="167" spans="1:6" x14ac:dyDescent="0.25">
      <c r="A167" s="11">
        <v>46237.402777777781</v>
      </c>
      <c r="B167" t="s">
        <v>55</v>
      </c>
      <c r="C167" s="2">
        <v>779.13</v>
      </c>
      <c r="D167" s="6">
        <v>1.28</v>
      </c>
      <c r="E167" s="6">
        <f>IF(F167="Sell",-C167*D167,C167*D167)</f>
        <v>997.28640000000007</v>
      </c>
      <c r="F167" s="2" t="s">
        <v>70</v>
      </c>
    </row>
    <row r="168" spans="1:6" x14ac:dyDescent="0.25">
      <c r="A168" s="11">
        <v>46114.560416666667</v>
      </c>
      <c r="B168" t="s">
        <v>18</v>
      </c>
      <c r="C168" s="2">
        <v>371.51</v>
      </c>
      <c r="D168" s="6">
        <v>1.92</v>
      </c>
      <c r="E168" s="6">
        <f>IF(F168="Sell",-C168*D168,C168*D168)</f>
        <v>713.29919999999993</v>
      </c>
      <c r="F168" s="6" t="s">
        <v>70</v>
      </c>
    </row>
  </sheetData>
  <autoFilter ref="A1:F168" xr:uid="{C1E503C2-5372-44CA-920E-B8461526100B}">
    <sortState xmlns:xlrd2="http://schemas.microsoft.com/office/spreadsheetml/2017/richdata2" ref="A2:F16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4D08-D91B-1043-AEE3-17C45FED0F30}">
  <dimension ref="A1:F174"/>
  <sheetViews>
    <sheetView zoomScaleNormal="100" workbookViewId="0">
      <pane ySplit="1" topLeftCell="A145" activePane="bottomLeft" state="frozen"/>
      <selection pane="bottomLeft" activeCell="B174" sqref="B174"/>
    </sheetView>
  </sheetViews>
  <sheetFormatPr defaultColWidth="11" defaultRowHeight="15.75" x14ac:dyDescent="0.25"/>
  <cols>
    <col min="1" max="1" width="15.125" style="1" customWidth="1"/>
    <col min="2" max="2" width="18.5" style="2" customWidth="1"/>
    <col min="3" max="3" width="15.625" style="5" customWidth="1"/>
    <col min="4" max="4" width="21.5" style="5" customWidth="1"/>
    <col min="5" max="5" width="15.5" style="6" customWidth="1"/>
    <col min="6" max="6" width="10.875" style="2"/>
  </cols>
  <sheetData>
    <row r="1" spans="1:6" x14ac:dyDescent="0.25">
      <c r="A1" s="3" t="s">
        <v>0</v>
      </c>
      <c r="B1" s="4" t="s">
        <v>1</v>
      </c>
      <c r="C1" s="7" t="s">
        <v>2</v>
      </c>
      <c r="D1" s="7" t="s">
        <v>3</v>
      </c>
      <c r="E1" s="8" t="s">
        <v>4</v>
      </c>
      <c r="F1" s="9" t="s">
        <v>5</v>
      </c>
    </row>
    <row r="2" spans="1:6" x14ac:dyDescent="0.25">
      <c r="A2" s="1">
        <v>45903.418749999997</v>
      </c>
      <c r="B2" s="2" t="s">
        <v>13</v>
      </c>
      <c r="C2" s="5">
        <v>50</v>
      </c>
      <c r="D2" s="5">
        <v>9.14</v>
      </c>
      <c r="E2" s="6">
        <f t="shared" ref="E2:E9" si="0">C2/D2</f>
        <v>5.4704595185995624</v>
      </c>
      <c r="F2" s="2" t="s">
        <v>7</v>
      </c>
    </row>
    <row r="3" spans="1:6" x14ac:dyDescent="0.25">
      <c r="A3" s="1">
        <v>45903.43472222222</v>
      </c>
      <c r="B3" s="2" t="s">
        <v>6</v>
      </c>
      <c r="C3" s="5">
        <v>200</v>
      </c>
      <c r="D3" s="5">
        <v>63.42</v>
      </c>
      <c r="E3" s="6">
        <f t="shared" si="0"/>
        <v>3.1535793125197098</v>
      </c>
      <c r="F3" s="2" t="s">
        <v>7</v>
      </c>
    </row>
    <row r="4" spans="1:6" x14ac:dyDescent="0.25">
      <c r="A4" s="1">
        <v>45903.435416666667</v>
      </c>
      <c r="B4" s="2" t="s">
        <v>8</v>
      </c>
      <c r="C4" s="5">
        <v>200</v>
      </c>
      <c r="D4" s="5">
        <v>33.61</v>
      </c>
      <c r="E4" s="6">
        <f t="shared" si="0"/>
        <v>5.9506099375185961</v>
      </c>
      <c r="F4" s="2" t="s">
        <v>7</v>
      </c>
    </row>
    <row r="5" spans="1:6" x14ac:dyDescent="0.25">
      <c r="A5" s="1">
        <v>45903.436111111114</v>
      </c>
      <c r="B5" s="2" t="s">
        <v>9</v>
      </c>
      <c r="C5" s="5">
        <v>200</v>
      </c>
      <c r="D5" s="5">
        <v>317.19</v>
      </c>
      <c r="E5" s="6">
        <f t="shared" si="0"/>
        <v>0.6305369021721996</v>
      </c>
      <c r="F5" s="2" t="s">
        <v>7</v>
      </c>
    </row>
    <row r="6" spans="1:6" x14ac:dyDescent="0.25">
      <c r="A6" s="1">
        <v>45903.436805555553</v>
      </c>
      <c r="B6" s="2" t="s">
        <v>10</v>
      </c>
      <c r="C6" s="5">
        <v>250</v>
      </c>
      <c r="D6" s="5">
        <v>328.13</v>
      </c>
      <c r="E6" s="6">
        <f t="shared" si="0"/>
        <v>0.76189315210434894</v>
      </c>
      <c r="F6" s="2" t="s">
        <v>7</v>
      </c>
    </row>
    <row r="7" spans="1:6" x14ac:dyDescent="0.25">
      <c r="A7" s="1">
        <v>45903.438194444447</v>
      </c>
      <c r="B7" s="2" t="s">
        <v>11</v>
      </c>
      <c r="C7" s="5">
        <v>50</v>
      </c>
      <c r="D7" s="5">
        <v>131.86000000000001</v>
      </c>
      <c r="E7" s="6">
        <f t="shared" si="0"/>
        <v>0.37919005005308659</v>
      </c>
      <c r="F7" s="2" t="s">
        <v>7</v>
      </c>
    </row>
    <row r="8" spans="1:6" x14ac:dyDescent="0.25">
      <c r="A8" s="1">
        <v>45903.438888888886</v>
      </c>
      <c r="B8" s="2" t="s">
        <v>12</v>
      </c>
      <c r="C8" s="5">
        <v>200</v>
      </c>
      <c r="D8" s="5">
        <v>643.12</v>
      </c>
      <c r="E8" s="6">
        <f t="shared" si="0"/>
        <v>0.31098395322801342</v>
      </c>
      <c r="F8" s="2" t="s">
        <v>7</v>
      </c>
    </row>
    <row r="9" spans="1:6" x14ac:dyDescent="0.25">
      <c r="A9" s="1">
        <v>45903.445138888892</v>
      </c>
      <c r="B9" s="2" t="s">
        <v>14</v>
      </c>
      <c r="C9" s="5">
        <v>19.989999999999998</v>
      </c>
      <c r="D9" s="5">
        <v>45.22</v>
      </c>
      <c r="E9" s="6">
        <f t="shared" si="0"/>
        <v>0.44206103494029186</v>
      </c>
      <c r="F9" s="2" t="s">
        <v>7</v>
      </c>
    </row>
    <row r="10" spans="1:6" x14ac:dyDescent="0.25">
      <c r="A10" s="1">
        <v>45903.445833333331</v>
      </c>
      <c r="B10" s="2" t="s">
        <v>15</v>
      </c>
      <c r="C10" s="5">
        <v>19.989999999999998</v>
      </c>
      <c r="D10" s="5">
        <v>39.6</v>
      </c>
      <c r="E10" s="6">
        <v>0.55984</v>
      </c>
      <c r="F10" s="2" t="s">
        <v>7</v>
      </c>
    </row>
    <row r="11" spans="1:6" x14ac:dyDescent="0.25">
      <c r="A11" s="1">
        <v>45903.448611111111</v>
      </c>
      <c r="B11" s="2" t="s">
        <v>16</v>
      </c>
      <c r="C11" s="5">
        <v>25</v>
      </c>
      <c r="D11" s="5">
        <v>5.26</v>
      </c>
      <c r="E11" s="6">
        <f t="shared" ref="E11:E42" si="1">C11/D11</f>
        <v>4.752851711026616</v>
      </c>
      <c r="F11" s="2" t="s">
        <v>7</v>
      </c>
    </row>
    <row r="12" spans="1:6" x14ac:dyDescent="0.25">
      <c r="A12" s="1">
        <v>45903.455555555556</v>
      </c>
      <c r="B12" s="2" t="s">
        <v>17</v>
      </c>
      <c r="C12" s="5">
        <v>19.989999999999998</v>
      </c>
      <c r="D12" s="5">
        <v>339.97</v>
      </c>
      <c r="E12" s="6">
        <f t="shared" si="1"/>
        <v>5.8799305821101849E-2</v>
      </c>
      <c r="F12" s="2" t="s">
        <v>7</v>
      </c>
    </row>
    <row r="13" spans="1:6" x14ac:dyDescent="0.25">
      <c r="A13" s="1">
        <v>45903.463888888888</v>
      </c>
      <c r="B13" s="2" t="s">
        <v>18</v>
      </c>
      <c r="C13" s="5">
        <v>19.989999999999998</v>
      </c>
      <c r="D13" s="5">
        <v>506.14</v>
      </c>
      <c r="E13" s="6">
        <f t="shared" si="1"/>
        <v>3.9495001383016558E-2</v>
      </c>
      <c r="F13" s="2" t="s">
        <v>7</v>
      </c>
    </row>
    <row r="14" spans="1:6" x14ac:dyDescent="0.25">
      <c r="A14" s="1">
        <v>45903.46597222222</v>
      </c>
      <c r="B14" s="2" t="s">
        <v>19</v>
      </c>
      <c r="C14" s="5">
        <v>19.98</v>
      </c>
      <c r="D14" s="5">
        <v>737.72</v>
      </c>
      <c r="E14" s="6">
        <f t="shared" si="1"/>
        <v>2.7083446293986877E-2</v>
      </c>
      <c r="F14" s="2" t="s">
        <v>7</v>
      </c>
    </row>
    <row r="15" spans="1:6" x14ac:dyDescent="0.25">
      <c r="A15" s="1">
        <v>45903.467361111114</v>
      </c>
      <c r="B15" s="2" t="s">
        <v>20</v>
      </c>
      <c r="C15" s="5">
        <v>19.989999999999998</v>
      </c>
      <c r="D15" s="5">
        <v>236.43</v>
      </c>
      <c r="E15" s="6">
        <f t="shared" si="1"/>
        <v>8.4549338070464816E-2</v>
      </c>
      <c r="F15" s="2" t="s">
        <v>7</v>
      </c>
    </row>
    <row r="16" spans="1:6" x14ac:dyDescent="0.25">
      <c r="A16" s="1">
        <v>45903.46875</v>
      </c>
      <c r="B16" s="2" t="s">
        <v>21</v>
      </c>
      <c r="C16" s="5">
        <v>50</v>
      </c>
      <c r="D16" s="5">
        <v>230.24</v>
      </c>
      <c r="E16" s="6">
        <f t="shared" si="1"/>
        <v>0.21716469770674079</v>
      </c>
      <c r="F16" s="2" t="s">
        <v>7</v>
      </c>
    </row>
    <row r="17" spans="1:6" x14ac:dyDescent="0.25">
      <c r="A17" s="1">
        <v>45903.470138888886</v>
      </c>
      <c r="B17" s="2" t="s">
        <v>22</v>
      </c>
      <c r="C17" s="5">
        <v>30</v>
      </c>
      <c r="D17" s="5">
        <v>225.92</v>
      </c>
      <c r="E17" s="6">
        <f t="shared" si="1"/>
        <v>0.13279036827195467</v>
      </c>
      <c r="F17" s="2" t="s">
        <v>7</v>
      </c>
    </row>
    <row r="18" spans="1:6" x14ac:dyDescent="0.25">
      <c r="A18" s="1">
        <v>45903.474999999999</v>
      </c>
      <c r="B18" s="2" t="s">
        <v>23</v>
      </c>
      <c r="C18" s="5">
        <v>30</v>
      </c>
      <c r="D18" s="5">
        <v>61.94</v>
      </c>
      <c r="E18" s="6">
        <f t="shared" si="1"/>
        <v>0.48433968356474011</v>
      </c>
      <c r="F18" s="2" t="s">
        <v>7</v>
      </c>
    </row>
    <row r="19" spans="1:6" x14ac:dyDescent="0.25">
      <c r="A19" s="1">
        <v>45903.476388888892</v>
      </c>
      <c r="B19" s="2" t="s">
        <v>24</v>
      </c>
      <c r="C19" s="5">
        <v>100</v>
      </c>
      <c r="D19" s="5">
        <v>93.52</v>
      </c>
      <c r="E19" s="6">
        <f t="shared" si="1"/>
        <v>1.0692899914456802</v>
      </c>
      <c r="F19" s="2" t="s">
        <v>7</v>
      </c>
    </row>
    <row r="20" spans="1:6" x14ac:dyDescent="0.25">
      <c r="A20" s="1">
        <v>45903.479861111111</v>
      </c>
      <c r="B20" s="2" t="s">
        <v>25</v>
      </c>
      <c r="C20" s="5">
        <v>49.99</v>
      </c>
      <c r="D20" s="5">
        <v>1218.2</v>
      </c>
      <c r="E20" s="6">
        <f t="shared" si="1"/>
        <v>4.1035954687243477E-2</v>
      </c>
      <c r="F20" s="2" t="s">
        <v>7</v>
      </c>
    </row>
    <row r="21" spans="1:6" x14ac:dyDescent="0.25">
      <c r="A21" s="1">
        <v>45903.480555555558</v>
      </c>
      <c r="B21" s="2" t="s">
        <v>26</v>
      </c>
      <c r="C21" s="5">
        <v>10</v>
      </c>
      <c r="D21" s="5">
        <v>111.61</v>
      </c>
      <c r="E21" s="6">
        <f t="shared" si="1"/>
        <v>8.9597706298718757E-2</v>
      </c>
      <c r="F21" s="2" t="s">
        <v>7</v>
      </c>
    </row>
    <row r="22" spans="1:6" x14ac:dyDescent="0.25">
      <c r="A22" s="1">
        <v>45903.493750000001</v>
      </c>
      <c r="B22" s="2" t="s">
        <v>27</v>
      </c>
      <c r="C22" s="5">
        <v>30</v>
      </c>
      <c r="D22" s="5">
        <v>74.92</v>
      </c>
      <c r="E22" s="6">
        <f t="shared" si="1"/>
        <v>0.40042712226374799</v>
      </c>
      <c r="F22" s="2" t="s">
        <v>7</v>
      </c>
    </row>
    <row r="23" spans="1:6" x14ac:dyDescent="0.25">
      <c r="A23" s="1">
        <v>45903.494444444441</v>
      </c>
      <c r="B23" s="2" t="s">
        <v>28</v>
      </c>
      <c r="C23" s="5">
        <v>25</v>
      </c>
      <c r="D23" s="5">
        <v>17.5</v>
      </c>
      <c r="E23" s="6">
        <f t="shared" si="1"/>
        <v>1.4285714285714286</v>
      </c>
      <c r="F23" s="2" t="s">
        <v>7</v>
      </c>
    </row>
    <row r="24" spans="1:6" x14ac:dyDescent="0.25">
      <c r="A24" s="1">
        <v>45903.494444444441</v>
      </c>
      <c r="B24" s="2" t="s">
        <v>29</v>
      </c>
      <c r="C24" s="5">
        <v>50</v>
      </c>
      <c r="D24" s="5">
        <v>37.47</v>
      </c>
      <c r="E24" s="6">
        <f t="shared" si="1"/>
        <v>1.3344008540165466</v>
      </c>
      <c r="F24" s="2" t="s">
        <v>7</v>
      </c>
    </row>
    <row r="25" spans="1:6" x14ac:dyDescent="0.25">
      <c r="A25" s="1">
        <v>45903.495138888888</v>
      </c>
      <c r="B25" s="2" t="s">
        <v>30</v>
      </c>
      <c r="C25" s="5">
        <v>19.989999999999998</v>
      </c>
      <c r="D25" s="5">
        <v>13</v>
      </c>
      <c r="E25" s="6">
        <f t="shared" si="1"/>
        <v>1.5376923076923075</v>
      </c>
      <c r="F25" s="2" t="s">
        <v>7</v>
      </c>
    </row>
    <row r="26" spans="1:6" x14ac:dyDescent="0.25">
      <c r="A26" s="1">
        <v>45903.504861111112</v>
      </c>
      <c r="B26" s="2" t="s">
        <v>31</v>
      </c>
      <c r="C26" s="5">
        <v>19.989999999999998</v>
      </c>
      <c r="D26" s="5">
        <v>158.88999999999999</v>
      </c>
      <c r="E26" s="6">
        <f t="shared" si="1"/>
        <v>0.12581030901881804</v>
      </c>
      <c r="F26" s="2" t="s">
        <v>7</v>
      </c>
    </row>
    <row r="27" spans="1:6" x14ac:dyDescent="0.25">
      <c r="A27" s="1">
        <v>45904.404861111114</v>
      </c>
      <c r="B27" s="2" t="s">
        <v>32</v>
      </c>
      <c r="C27" s="5">
        <v>50</v>
      </c>
      <c r="D27" s="5">
        <v>49.57</v>
      </c>
      <c r="E27" s="6">
        <f t="shared" si="1"/>
        <v>1.0086746015735324</v>
      </c>
      <c r="F27" s="2" t="s">
        <v>7</v>
      </c>
    </row>
    <row r="28" spans="1:6" x14ac:dyDescent="0.25">
      <c r="A28" s="1">
        <v>45904.406944444447</v>
      </c>
      <c r="B28" s="2" t="s">
        <v>33</v>
      </c>
      <c r="C28" s="5">
        <v>30</v>
      </c>
      <c r="D28" s="5">
        <v>8.94</v>
      </c>
      <c r="E28" s="6">
        <f t="shared" si="1"/>
        <v>3.3557046979865772</v>
      </c>
      <c r="F28" s="2" t="s">
        <v>7</v>
      </c>
    </row>
    <row r="29" spans="1:6" x14ac:dyDescent="0.25">
      <c r="A29" s="1">
        <v>45904.407638888886</v>
      </c>
      <c r="B29" s="2" t="s">
        <v>34</v>
      </c>
      <c r="C29" s="5">
        <v>25</v>
      </c>
      <c r="D29" s="5">
        <v>27.16</v>
      </c>
      <c r="E29" s="6">
        <f t="shared" si="1"/>
        <v>0.92047128129602351</v>
      </c>
      <c r="F29" s="2" t="s">
        <v>7</v>
      </c>
    </row>
    <row r="30" spans="1:6" x14ac:dyDescent="0.25">
      <c r="A30" s="1">
        <v>45904.412499999999</v>
      </c>
      <c r="B30" s="2" t="s">
        <v>35</v>
      </c>
      <c r="C30" s="5">
        <v>100</v>
      </c>
      <c r="D30" s="5">
        <v>74.34</v>
      </c>
      <c r="E30" s="6">
        <f t="shared" si="1"/>
        <v>1.3451708366962603</v>
      </c>
      <c r="F30" s="2" t="s">
        <v>7</v>
      </c>
    </row>
    <row r="31" spans="1:6" x14ac:dyDescent="0.25">
      <c r="A31" s="1">
        <v>45904.414583333331</v>
      </c>
      <c r="B31" s="2" t="s">
        <v>36</v>
      </c>
      <c r="C31" s="5">
        <v>30</v>
      </c>
      <c r="D31" s="5">
        <v>185.21</v>
      </c>
      <c r="E31" s="6">
        <f t="shared" si="1"/>
        <v>0.16197829490848226</v>
      </c>
      <c r="F31" s="2" t="s">
        <v>7</v>
      </c>
    </row>
    <row r="32" spans="1:6" x14ac:dyDescent="0.25">
      <c r="A32" s="1">
        <v>45904.418749999997</v>
      </c>
      <c r="B32" s="2" t="s">
        <v>37</v>
      </c>
      <c r="C32" s="5">
        <v>100</v>
      </c>
      <c r="D32" s="5">
        <v>647.66</v>
      </c>
      <c r="E32" s="6">
        <f t="shared" si="1"/>
        <v>0.15440200104993362</v>
      </c>
      <c r="F32" s="2" t="s">
        <v>7</v>
      </c>
    </row>
    <row r="33" spans="1:6" x14ac:dyDescent="0.25">
      <c r="A33" s="1">
        <v>45905.408333333333</v>
      </c>
      <c r="B33" s="2" t="s">
        <v>16</v>
      </c>
      <c r="C33" s="5">
        <v>15</v>
      </c>
      <c r="D33" s="5">
        <v>6.65</v>
      </c>
      <c r="E33" s="6">
        <f t="shared" si="1"/>
        <v>2.255639097744361</v>
      </c>
      <c r="F33" s="2" t="s">
        <v>7</v>
      </c>
    </row>
    <row r="34" spans="1:6" x14ac:dyDescent="0.25">
      <c r="A34" s="1">
        <v>45908.665277777778</v>
      </c>
      <c r="B34" s="2" t="s">
        <v>23</v>
      </c>
      <c r="C34" s="5">
        <v>29.9</v>
      </c>
      <c r="D34" s="5">
        <v>61.73</v>
      </c>
      <c r="E34" s="6">
        <f t="shared" si="1"/>
        <v>0.48436740644743237</v>
      </c>
      <c r="F34" s="2" t="s">
        <v>38</v>
      </c>
    </row>
    <row r="35" spans="1:6" x14ac:dyDescent="0.25">
      <c r="A35" s="1">
        <v>45909.415277777778</v>
      </c>
      <c r="B35" s="2" t="s">
        <v>16</v>
      </c>
      <c r="C35" s="5">
        <v>18.5</v>
      </c>
      <c r="D35" s="5">
        <v>6.16</v>
      </c>
      <c r="E35" s="6">
        <f t="shared" si="1"/>
        <v>3.0032467532467533</v>
      </c>
      <c r="F35" s="2" t="s">
        <v>7</v>
      </c>
    </row>
    <row r="36" spans="1:6" x14ac:dyDescent="0.25">
      <c r="A36" s="1">
        <v>45909.418055555558</v>
      </c>
      <c r="B36" s="2" t="s">
        <v>8</v>
      </c>
      <c r="C36" s="5">
        <v>12.57</v>
      </c>
      <c r="D36" s="5">
        <v>32.69</v>
      </c>
      <c r="E36" s="6">
        <f t="shared" si="1"/>
        <v>0.38452126032425821</v>
      </c>
      <c r="F36" s="2" t="s">
        <v>7</v>
      </c>
    </row>
    <row r="37" spans="1:6" x14ac:dyDescent="0.25">
      <c r="A37" s="1">
        <v>45909.427083333336</v>
      </c>
      <c r="B37" s="2" t="s">
        <v>39</v>
      </c>
      <c r="C37" s="5">
        <v>100</v>
      </c>
      <c r="D37" s="5">
        <v>72.319999999999993</v>
      </c>
      <c r="E37" s="6">
        <f t="shared" si="1"/>
        <v>1.3827433628318586</v>
      </c>
      <c r="F37" s="2" t="s">
        <v>7</v>
      </c>
    </row>
    <row r="38" spans="1:6" x14ac:dyDescent="0.25">
      <c r="A38" s="1">
        <v>45909.427777777775</v>
      </c>
      <c r="B38" s="2" t="s">
        <v>40</v>
      </c>
      <c r="C38" s="5">
        <v>19.97</v>
      </c>
      <c r="D38" s="5">
        <v>2362.94</v>
      </c>
      <c r="E38" s="6">
        <f t="shared" si="1"/>
        <v>8.4513360474662916E-3</v>
      </c>
      <c r="F38" s="2" t="s">
        <v>7</v>
      </c>
    </row>
    <row r="39" spans="1:6" x14ac:dyDescent="0.25">
      <c r="A39" s="1">
        <v>45909.431250000001</v>
      </c>
      <c r="B39" s="2" t="s">
        <v>10</v>
      </c>
      <c r="C39" s="5">
        <v>335.9</v>
      </c>
      <c r="D39" s="5">
        <v>335.9</v>
      </c>
      <c r="E39" s="6">
        <f t="shared" si="1"/>
        <v>1</v>
      </c>
      <c r="F39" s="2" t="s">
        <v>7</v>
      </c>
    </row>
    <row r="40" spans="1:6" x14ac:dyDescent="0.25">
      <c r="A40" s="1">
        <v>45909.43472222222</v>
      </c>
      <c r="B40" s="2" t="s">
        <v>12</v>
      </c>
      <c r="C40" s="5">
        <v>299.98</v>
      </c>
      <c r="D40" s="5">
        <v>648.80999999999995</v>
      </c>
      <c r="E40" s="6">
        <f t="shared" si="1"/>
        <v>0.46235415607034425</v>
      </c>
      <c r="F40" s="2" t="s">
        <v>7</v>
      </c>
    </row>
    <row r="41" spans="1:6" x14ac:dyDescent="0.25">
      <c r="A41" s="1">
        <v>45909.439583333333</v>
      </c>
      <c r="B41" s="2" t="s">
        <v>13</v>
      </c>
      <c r="C41" s="5">
        <v>13.5</v>
      </c>
      <c r="D41" s="5">
        <v>9.89</v>
      </c>
      <c r="E41" s="6">
        <f t="shared" si="1"/>
        <v>1.3650151668351871</v>
      </c>
      <c r="F41" s="2" t="s">
        <v>7</v>
      </c>
    </row>
    <row r="42" spans="1:6" x14ac:dyDescent="0.25">
      <c r="A42" s="1">
        <v>45909.449305555558</v>
      </c>
      <c r="B42" s="2" t="s">
        <v>42</v>
      </c>
      <c r="C42" s="5">
        <v>100</v>
      </c>
      <c r="D42" s="5">
        <v>579.10599999999999</v>
      </c>
      <c r="E42" s="6">
        <f t="shared" si="1"/>
        <v>0.17267995841866601</v>
      </c>
      <c r="F42" s="2" t="s">
        <v>7</v>
      </c>
    </row>
    <row r="43" spans="1:6" x14ac:dyDescent="0.25">
      <c r="A43" s="1">
        <v>45909.449305555558</v>
      </c>
      <c r="B43" s="2" t="s">
        <v>41</v>
      </c>
      <c r="C43" s="5">
        <v>100</v>
      </c>
      <c r="D43" s="5">
        <v>215.58</v>
      </c>
      <c r="E43" s="6">
        <f t="shared" ref="E43:E66" si="2">C43/D43</f>
        <v>0.46386492253455791</v>
      </c>
      <c r="F43" s="2" t="s">
        <v>7</v>
      </c>
    </row>
    <row r="44" spans="1:6" x14ac:dyDescent="0.25">
      <c r="A44" s="1">
        <v>45910</v>
      </c>
      <c r="B44" s="2" t="s">
        <v>16</v>
      </c>
      <c r="C44" s="5">
        <v>8.4</v>
      </c>
      <c r="D44" s="5">
        <v>5.69</v>
      </c>
      <c r="E44" s="6">
        <f t="shared" si="2"/>
        <v>1.476274165202109</v>
      </c>
      <c r="F44" s="2" t="s">
        <v>7</v>
      </c>
    </row>
    <row r="45" spans="1:6" x14ac:dyDescent="0.25">
      <c r="A45" s="1">
        <v>45910</v>
      </c>
      <c r="B45" s="2" t="s">
        <v>43</v>
      </c>
      <c r="C45" s="5">
        <v>20.14</v>
      </c>
      <c r="D45" s="5">
        <v>341.71</v>
      </c>
      <c r="E45" s="6">
        <f t="shared" si="2"/>
        <v>5.8938866290129059E-2</v>
      </c>
      <c r="F45" s="2" t="s">
        <v>7</v>
      </c>
    </row>
    <row r="46" spans="1:6" x14ac:dyDescent="0.25">
      <c r="A46" s="1">
        <v>45911</v>
      </c>
      <c r="B46" s="2" t="s">
        <v>39</v>
      </c>
      <c r="C46" s="5">
        <v>101.44</v>
      </c>
      <c r="D46" s="5">
        <v>73.36</v>
      </c>
      <c r="E46" s="6">
        <f t="shared" si="2"/>
        <v>1.3827699018538713</v>
      </c>
      <c r="F46" s="2" t="s">
        <v>38</v>
      </c>
    </row>
    <row r="47" spans="1:6" x14ac:dyDescent="0.25">
      <c r="A47" s="1">
        <v>45911</v>
      </c>
      <c r="B47" s="2" t="s">
        <v>43</v>
      </c>
      <c r="C47" s="5">
        <v>18.059999999999999</v>
      </c>
      <c r="D47" s="5">
        <v>308.70999999999998</v>
      </c>
      <c r="E47" s="6">
        <f t="shared" si="2"/>
        <v>5.8501506268018526E-2</v>
      </c>
      <c r="F47" s="2" t="s">
        <v>38</v>
      </c>
    </row>
    <row r="48" spans="1:6" x14ac:dyDescent="0.25">
      <c r="A48" s="1">
        <v>45912</v>
      </c>
      <c r="B48" s="2" t="s">
        <v>45</v>
      </c>
      <c r="C48" s="5">
        <v>13.8</v>
      </c>
      <c r="D48" s="5">
        <v>1.37</v>
      </c>
      <c r="E48" s="6">
        <f t="shared" si="2"/>
        <v>10.072992700729927</v>
      </c>
      <c r="F48" s="2" t="s">
        <v>7</v>
      </c>
    </row>
    <row r="49" spans="1:6" x14ac:dyDescent="0.25">
      <c r="A49" s="1">
        <v>45912</v>
      </c>
      <c r="B49" s="2" t="s">
        <v>45</v>
      </c>
      <c r="C49" s="5">
        <v>43</v>
      </c>
      <c r="D49" s="5">
        <v>1.71</v>
      </c>
      <c r="E49" s="6">
        <f t="shared" si="2"/>
        <v>25.146198830409357</v>
      </c>
      <c r="F49" s="2" t="s">
        <v>7</v>
      </c>
    </row>
    <row r="50" spans="1:6" x14ac:dyDescent="0.25">
      <c r="A50" s="1">
        <v>45912</v>
      </c>
      <c r="B50" s="2" t="s">
        <v>45</v>
      </c>
      <c r="C50" s="5">
        <v>6.04</v>
      </c>
      <c r="D50" s="5">
        <v>1.5</v>
      </c>
      <c r="E50" s="6">
        <f t="shared" si="2"/>
        <v>4.0266666666666664</v>
      </c>
      <c r="F50" s="2" t="s">
        <v>7</v>
      </c>
    </row>
    <row r="51" spans="1:6" x14ac:dyDescent="0.25">
      <c r="A51" s="1">
        <v>45912</v>
      </c>
      <c r="B51" s="2" t="s">
        <v>44</v>
      </c>
      <c r="C51" s="5">
        <v>54.9</v>
      </c>
      <c r="D51" s="5">
        <v>54.9</v>
      </c>
      <c r="E51" s="6">
        <f t="shared" si="2"/>
        <v>1</v>
      </c>
      <c r="F51" s="2" t="s">
        <v>7</v>
      </c>
    </row>
    <row r="52" spans="1:6" x14ac:dyDescent="0.25">
      <c r="A52" s="1">
        <v>45923</v>
      </c>
      <c r="B52" s="2" t="s">
        <v>21</v>
      </c>
      <c r="C52" s="5">
        <v>146</v>
      </c>
      <c r="D52" s="5">
        <v>251.48</v>
      </c>
      <c r="E52" s="6">
        <f t="shared" si="2"/>
        <v>0.58056306664545887</v>
      </c>
      <c r="F52" s="2" t="s">
        <v>7</v>
      </c>
    </row>
    <row r="53" spans="1:6" x14ac:dyDescent="0.25">
      <c r="A53" s="1">
        <v>45923</v>
      </c>
      <c r="B53" s="2" t="s">
        <v>37</v>
      </c>
      <c r="C53" s="5">
        <v>103.08</v>
      </c>
      <c r="D53" s="5">
        <v>666.18</v>
      </c>
      <c r="E53" s="6">
        <f t="shared" si="2"/>
        <v>0.15473295505719176</v>
      </c>
      <c r="F53" s="2" t="s">
        <v>38</v>
      </c>
    </row>
    <row r="54" spans="1:6" x14ac:dyDescent="0.25">
      <c r="A54" s="1">
        <v>45923</v>
      </c>
      <c r="B54" s="2" t="s">
        <v>19</v>
      </c>
      <c r="C54" s="5">
        <v>79.989999999999995</v>
      </c>
      <c r="D54" s="5">
        <v>765.72</v>
      </c>
      <c r="E54" s="6">
        <f t="shared" si="2"/>
        <v>0.10446377265841299</v>
      </c>
      <c r="F54" s="2" t="s">
        <v>7</v>
      </c>
    </row>
    <row r="55" spans="1:6" x14ac:dyDescent="0.25">
      <c r="A55" s="1">
        <v>45923</v>
      </c>
      <c r="B55" s="2" t="s">
        <v>16</v>
      </c>
      <c r="C55" s="5">
        <v>35.79</v>
      </c>
      <c r="D55" s="5">
        <v>8.0299999999999994</v>
      </c>
      <c r="E55" s="6">
        <f t="shared" si="2"/>
        <v>4.4570361145703616</v>
      </c>
      <c r="F55" s="2" t="s">
        <v>7</v>
      </c>
    </row>
    <row r="56" spans="1:6" x14ac:dyDescent="0.25">
      <c r="A56" s="1">
        <v>45923</v>
      </c>
      <c r="B56" s="2" t="s">
        <v>46</v>
      </c>
      <c r="C56" s="5">
        <v>68.2</v>
      </c>
      <c r="D56" s="5">
        <v>68.19</v>
      </c>
      <c r="E56" s="6">
        <f t="shared" si="2"/>
        <v>1.0001466490687785</v>
      </c>
      <c r="F56" s="2" t="s">
        <v>7</v>
      </c>
    </row>
    <row r="57" spans="1:6" x14ac:dyDescent="0.25">
      <c r="A57" s="1">
        <v>45923</v>
      </c>
      <c r="B57" s="2" t="s">
        <v>47</v>
      </c>
      <c r="C57" s="5">
        <v>170.44</v>
      </c>
      <c r="D57" s="5">
        <v>170.43</v>
      </c>
      <c r="E57" s="6">
        <f t="shared" si="2"/>
        <v>1.0000586751158833</v>
      </c>
      <c r="F57" s="2" t="s">
        <v>7</v>
      </c>
    </row>
    <row r="58" spans="1:6" x14ac:dyDescent="0.25">
      <c r="A58" s="1">
        <v>45924</v>
      </c>
      <c r="B58" s="2" t="s">
        <v>25</v>
      </c>
      <c r="C58" s="5">
        <v>49.84</v>
      </c>
      <c r="D58" s="5">
        <v>121.43</v>
      </c>
      <c r="E58" s="6">
        <f t="shared" si="2"/>
        <v>0.41044223009141068</v>
      </c>
      <c r="F58" s="2" t="s">
        <v>38</v>
      </c>
    </row>
    <row r="59" spans="1:6" x14ac:dyDescent="0.25">
      <c r="A59" s="1">
        <v>45924</v>
      </c>
      <c r="B59" s="2" t="s">
        <v>32</v>
      </c>
      <c r="C59" s="5">
        <v>49.37</v>
      </c>
      <c r="D59" s="5">
        <v>48.95</v>
      </c>
      <c r="E59" s="6">
        <f t="shared" si="2"/>
        <v>1.0085801838610826</v>
      </c>
      <c r="F59" s="2" t="s">
        <v>38</v>
      </c>
    </row>
    <row r="60" spans="1:6" x14ac:dyDescent="0.25">
      <c r="A60" s="1">
        <v>45929</v>
      </c>
      <c r="B60" s="2" t="s">
        <v>9</v>
      </c>
      <c r="C60" s="5">
        <v>202.09</v>
      </c>
      <c r="D60" s="5">
        <v>327</v>
      </c>
      <c r="E60" s="6">
        <f t="shared" si="2"/>
        <v>0.6180122324159022</v>
      </c>
      <c r="F60" s="2" t="s">
        <v>7</v>
      </c>
    </row>
    <row r="61" spans="1:6" x14ac:dyDescent="0.25">
      <c r="A61" s="1">
        <v>45937</v>
      </c>
      <c r="B61" s="2" t="s">
        <v>34</v>
      </c>
      <c r="C61" s="5">
        <v>67.88</v>
      </c>
      <c r="D61" s="5">
        <v>33.94</v>
      </c>
      <c r="E61" s="6">
        <f t="shared" si="2"/>
        <v>2</v>
      </c>
      <c r="F61" s="2" t="s">
        <v>7</v>
      </c>
    </row>
    <row r="62" spans="1:6" x14ac:dyDescent="0.25">
      <c r="A62" s="1">
        <v>45937</v>
      </c>
      <c r="B62" s="2" t="s">
        <v>48</v>
      </c>
      <c r="C62" s="5">
        <v>61.28</v>
      </c>
      <c r="D62" s="5">
        <v>61.27</v>
      </c>
      <c r="E62" s="6">
        <f t="shared" si="2"/>
        <v>1.000163212012404</v>
      </c>
      <c r="F62" s="2" t="s">
        <v>7</v>
      </c>
    </row>
    <row r="63" spans="1:6" x14ac:dyDescent="0.25">
      <c r="A63" s="1">
        <v>45937</v>
      </c>
      <c r="B63" s="2" t="s">
        <v>33</v>
      </c>
      <c r="C63" s="5">
        <v>49.58</v>
      </c>
      <c r="D63" s="5">
        <v>12.39</v>
      </c>
      <c r="E63" s="6">
        <f t="shared" si="2"/>
        <v>4.0016142050040351</v>
      </c>
      <c r="F63" s="2" t="s">
        <v>7</v>
      </c>
    </row>
    <row r="64" spans="1:6" x14ac:dyDescent="0.25">
      <c r="A64" s="1">
        <v>45937.40625</v>
      </c>
      <c r="B64" s="2" t="s">
        <v>49</v>
      </c>
      <c r="C64" s="5">
        <v>26.6</v>
      </c>
      <c r="D64" s="5">
        <v>5.32</v>
      </c>
      <c r="E64" s="6">
        <f t="shared" si="2"/>
        <v>5</v>
      </c>
      <c r="F64" s="2" t="s">
        <v>7</v>
      </c>
    </row>
    <row r="65" spans="1:6" x14ac:dyDescent="0.25">
      <c r="A65" s="1">
        <v>45937.462500000001</v>
      </c>
      <c r="B65" s="2" t="s">
        <v>50</v>
      </c>
      <c r="C65" s="5">
        <v>114.96</v>
      </c>
      <c r="D65" s="5">
        <v>57.48</v>
      </c>
      <c r="E65" s="6">
        <f t="shared" si="2"/>
        <v>2</v>
      </c>
      <c r="F65" s="2" t="s">
        <v>7</v>
      </c>
    </row>
    <row r="66" spans="1:6" x14ac:dyDescent="0.25">
      <c r="A66" s="1">
        <v>45937.465277777781</v>
      </c>
      <c r="B66" s="2" t="s">
        <v>42</v>
      </c>
      <c r="C66" s="5">
        <v>73.790000000000006</v>
      </c>
      <c r="D66" s="5">
        <v>604.97</v>
      </c>
      <c r="E66" s="6">
        <f t="shared" si="2"/>
        <v>0.12197299039621799</v>
      </c>
      <c r="F66" s="2" t="s">
        <v>7</v>
      </c>
    </row>
    <row r="67" spans="1:6" x14ac:dyDescent="0.25">
      <c r="A67" s="1">
        <v>45938.413194444445</v>
      </c>
      <c r="B67" s="2" t="s">
        <v>50</v>
      </c>
      <c r="C67" s="5">
        <v>118.69</v>
      </c>
      <c r="D67" s="5">
        <v>59.34</v>
      </c>
      <c r="E67" s="6">
        <v>2</v>
      </c>
      <c r="F67" s="2" t="s">
        <v>38</v>
      </c>
    </row>
    <row r="68" spans="1:6" x14ac:dyDescent="0.25">
      <c r="A68" s="1">
        <v>45939.417361111111</v>
      </c>
      <c r="B68" s="2" t="s">
        <v>51</v>
      </c>
      <c r="C68" s="5">
        <v>118.51</v>
      </c>
      <c r="D68" s="5">
        <v>124.22</v>
      </c>
      <c r="E68" s="6">
        <v>0.95403000000000004</v>
      </c>
      <c r="F68" s="2" t="s">
        <v>7</v>
      </c>
    </row>
    <row r="69" spans="1:6" x14ac:dyDescent="0.25">
      <c r="A69" s="1">
        <v>45943.410416666666</v>
      </c>
      <c r="B69" s="2" t="s">
        <v>26</v>
      </c>
      <c r="C69" s="5">
        <v>10.11</v>
      </c>
      <c r="D69" s="5">
        <v>112.2</v>
      </c>
      <c r="E69" s="6">
        <v>9.0120000000000006E-2</v>
      </c>
      <c r="F69" s="2" t="s">
        <v>38</v>
      </c>
    </row>
    <row r="70" spans="1:6" x14ac:dyDescent="0.25">
      <c r="A70" s="1">
        <v>45943.411805555559</v>
      </c>
      <c r="B70" s="2" t="s">
        <v>20</v>
      </c>
      <c r="C70" s="5">
        <v>20.87</v>
      </c>
      <c r="D70" s="5">
        <v>246.88</v>
      </c>
      <c r="E70" s="6">
        <f>C70/D70</f>
        <v>8.4534996759559305E-2</v>
      </c>
      <c r="F70" s="2" t="s">
        <v>38</v>
      </c>
    </row>
    <row r="71" spans="1:6" x14ac:dyDescent="0.25">
      <c r="A71" s="1">
        <v>45943.412499999999</v>
      </c>
      <c r="B71" s="2" t="s">
        <v>28</v>
      </c>
      <c r="C71" s="5">
        <v>24.74</v>
      </c>
      <c r="D71" s="5">
        <v>17.309999999999999</v>
      </c>
      <c r="E71" s="6">
        <v>1.42</v>
      </c>
      <c r="F71" s="2" t="s">
        <v>38</v>
      </c>
    </row>
    <row r="72" spans="1:6" x14ac:dyDescent="0.25">
      <c r="A72" s="1">
        <v>45943.413194444445</v>
      </c>
      <c r="B72" s="2" t="s">
        <v>11</v>
      </c>
      <c r="C72" s="5">
        <v>48.88</v>
      </c>
      <c r="D72" s="5">
        <v>128.91</v>
      </c>
      <c r="E72" s="6">
        <v>0.37919000000000003</v>
      </c>
      <c r="F72" s="2" t="s">
        <v>38</v>
      </c>
    </row>
    <row r="73" spans="1:6" x14ac:dyDescent="0.25">
      <c r="A73" s="1">
        <v>45943.415277777778</v>
      </c>
      <c r="B73" s="2" t="s">
        <v>36</v>
      </c>
      <c r="C73" s="5">
        <v>29.7</v>
      </c>
      <c r="D73" s="5">
        <v>183.36</v>
      </c>
      <c r="E73" s="6">
        <v>0.16197</v>
      </c>
      <c r="F73" s="2" t="s">
        <v>38</v>
      </c>
    </row>
    <row r="74" spans="1:6" x14ac:dyDescent="0.25">
      <c r="A74" s="1">
        <v>45943.417361111111</v>
      </c>
      <c r="B74" s="2" t="s">
        <v>27</v>
      </c>
      <c r="C74" s="5">
        <v>28.24</v>
      </c>
      <c r="D74" s="5">
        <v>70.52</v>
      </c>
      <c r="E74" s="6">
        <v>0.40042</v>
      </c>
      <c r="F74" s="2" t="s">
        <v>38</v>
      </c>
    </row>
    <row r="75" spans="1:6" x14ac:dyDescent="0.25">
      <c r="A75" s="1">
        <v>45946.399305555555</v>
      </c>
      <c r="B75" s="2" t="s">
        <v>52</v>
      </c>
      <c r="C75" s="5">
        <v>161.63</v>
      </c>
      <c r="D75" s="5">
        <v>41.11</v>
      </c>
      <c r="E75" s="6">
        <v>3.93</v>
      </c>
      <c r="F75" s="2" t="s">
        <v>7</v>
      </c>
    </row>
    <row r="76" spans="1:6" x14ac:dyDescent="0.25">
      <c r="A76" s="1">
        <v>45957.457638888889</v>
      </c>
      <c r="B76" s="2" t="s">
        <v>47</v>
      </c>
      <c r="C76" s="5">
        <v>192.61</v>
      </c>
      <c r="D76" s="5">
        <v>192.61</v>
      </c>
      <c r="E76" s="6">
        <v>1</v>
      </c>
      <c r="F76" s="2" t="s">
        <v>38</v>
      </c>
    </row>
    <row r="77" spans="1:6" x14ac:dyDescent="0.25">
      <c r="A77" s="1">
        <v>45957.459722222222</v>
      </c>
      <c r="B77" s="2" t="s">
        <v>13</v>
      </c>
      <c r="C77" s="5">
        <v>70.31</v>
      </c>
      <c r="D77" s="5">
        <v>10.29</v>
      </c>
      <c r="E77" s="6">
        <v>6.83</v>
      </c>
      <c r="F77" s="2" t="s">
        <v>38</v>
      </c>
    </row>
    <row r="78" spans="1:6" x14ac:dyDescent="0.25">
      <c r="A78" s="1">
        <v>45957.460416666669</v>
      </c>
      <c r="B78" s="2" t="s">
        <v>33</v>
      </c>
      <c r="C78" s="5">
        <v>89.15</v>
      </c>
      <c r="D78" s="5">
        <v>12.12</v>
      </c>
      <c r="E78" s="6">
        <v>7.35</v>
      </c>
      <c r="F78" s="2" t="s">
        <v>38</v>
      </c>
    </row>
    <row r="79" spans="1:6" x14ac:dyDescent="0.25">
      <c r="A79" s="1">
        <v>45957.462500000001</v>
      </c>
      <c r="B79" s="2" t="s">
        <v>10</v>
      </c>
      <c r="C79" s="5">
        <v>644.76</v>
      </c>
      <c r="D79" s="5">
        <v>365.94</v>
      </c>
      <c r="E79" s="6">
        <v>1.76</v>
      </c>
      <c r="F79" s="2" t="s">
        <v>38</v>
      </c>
    </row>
    <row r="80" spans="1:6" x14ac:dyDescent="0.25">
      <c r="A80" s="1">
        <v>45957.463194444441</v>
      </c>
      <c r="B80" s="2" t="s">
        <v>51</v>
      </c>
      <c r="C80" s="5">
        <v>117.32</v>
      </c>
      <c r="D80" s="5">
        <v>122.97</v>
      </c>
      <c r="E80" s="6">
        <v>0.95403000000000004</v>
      </c>
      <c r="F80" s="2" t="s">
        <v>38</v>
      </c>
    </row>
    <row r="81" spans="1:6" x14ac:dyDescent="0.25">
      <c r="A81" s="1">
        <v>45957.463888888888</v>
      </c>
      <c r="B81" s="2" t="s">
        <v>29</v>
      </c>
      <c r="C81" s="5">
        <v>55.76</v>
      </c>
      <c r="D81" s="5">
        <v>41.78</v>
      </c>
      <c r="E81" s="6">
        <v>1.33</v>
      </c>
      <c r="F81" s="2" t="s">
        <v>38</v>
      </c>
    </row>
    <row r="82" spans="1:6" x14ac:dyDescent="0.25">
      <c r="A82" s="1">
        <v>45957.464583333334</v>
      </c>
      <c r="B82" s="2" t="s">
        <v>40</v>
      </c>
      <c r="C82" s="5">
        <v>19.239999999999998</v>
      </c>
      <c r="D82" s="5">
        <v>2277.38</v>
      </c>
      <c r="E82" s="6">
        <v>8.4499999999999992E-3</v>
      </c>
      <c r="F82" s="2" t="s">
        <v>38</v>
      </c>
    </row>
    <row r="83" spans="1:6" x14ac:dyDescent="0.25">
      <c r="A83" s="1">
        <v>45957.464583333334</v>
      </c>
      <c r="B83" s="2" t="s">
        <v>30</v>
      </c>
      <c r="C83" s="5">
        <v>19.87</v>
      </c>
      <c r="D83" s="5">
        <v>12.92</v>
      </c>
      <c r="E83" s="6">
        <v>1.53</v>
      </c>
      <c r="F83" s="2" t="s">
        <v>38</v>
      </c>
    </row>
    <row r="84" spans="1:6" x14ac:dyDescent="0.25">
      <c r="A84" s="1">
        <v>45957.470833333333</v>
      </c>
      <c r="B84" s="2" t="s">
        <v>14</v>
      </c>
      <c r="C84" s="5">
        <v>23.32</v>
      </c>
      <c r="D84" s="5">
        <v>52.74</v>
      </c>
      <c r="E84" s="6">
        <v>0.44206000000000001</v>
      </c>
      <c r="F84" s="2" t="s">
        <v>38</v>
      </c>
    </row>
    <row r="85" spans="1:6" x14ac:dyDescent="0.25">
      <c r="A85" s="1">
        <v>45957.470833333333</v>
      </c>
      <c r="B85" s="2" t="s">
        <v>49</v>
      </c>
      <c r="C85" s="5">
        <v>24.23</v>
      </c>
      <c r="D85" s="5">
        <v>4.84</v>
      </c>
      <c r="E85" s="6">
        <v>5</v>
      </c>
      <c r="F85" s="2" t="s">
        <v>38</v>
      </c>
    </row>
    <row r="86" spans="1:6" x14ac:dyDescent="0.25">
      <c r="A86" s="1">
        <v>45957.47152777778</v>
      </c>
      <c r="B86" s="2" t="s">
        <v>44</v>
      </c>
      <c r="C86" s="5">
        <v>52.96</v>
      </c>
      <c r="D86" s="5">
        <v>52.95</v>
      </c>
      <c r="E86" s="6">
        <v>1</v>
      </c>
      <c r="F86" s="2" t="s">
        <v>38</v>
      </c>
    </row>
    <row r="87" spans="1:6" x14ac:dyDescent="0.25">
      <c r="A87" s="1">
        <v>45958.512499999997</v>
      </c>
      <c r="B87" s="2" t="s">
        <v>18</v>
      </c>
      <c r="C87" s="5">
        <v>520.39</v>
      </c>
      <c r="D87" s="5">
        <v>541.79</v>
      </c>
      <c r="E87" s="6">
        <v>0.96050999999999997</v>
      </c>
      <c r="F87" s="2" t="s">
        <v>7</v>
      </c>
    </row>
    <row r="88" spans="1:6" x14ac:dyDescent="0.25">
      <c r="A88" s="1">
        <v>45958.515277777777</v>
      </c>
      <c r="B88" s="2" t="s">
        <v>35</v>
      </c>
      <c r="C88" s="5">
        <v>238.39</v>
      </c>
      <c r="D88" s="5">
        <v>89.79</v>
      </c>
      <c r="E88" s="6">
        <v>2.65</v>
      </c>
      <c r="F88" s="2" t="s">
        <v>7</v>
      </c>
    </row>
    <row r="89" spans="1:6" x14ac:dyDescent="0.25">
      <c r="A89" s="1">
        <v>45958.517361111109</v>
      </c>
      <c r="B89" s="2" t="s">
        <v>21</v>
      </c>
      <c r="C89" s="5">
        <v>320.8</v>
      </c>
      <c r="D89" s="5">
        <v>266.82</v>
      </c>
      <c r="E89" s="6">
        <v>1.2</v>
      </c>
      <c r="F89" s="2" t="s">
        <v>7</v>
      </c>
    </row>
    <row r="90" spans="1:6" x14ac:dyDescent="0.25">
      <c r="A90" s="1">
        <v>45958.520138888889</v>
      </c>
      <c r="B90" s="2" t="s">
        <v>31</v>
      </c>
      <c r="C90" s="5">
        <v>23.77</v>
      </c>
      <c r="D90" s="5">
        <v>188.92</v>
      </c>
      <c r="E90" s="6">
        <v>0.12581000000000001</v>
      </c>
      <c r="F90" s="2" t="s">
        <v>38</v>
      </c>
    </row>
    <row r="91" spans="1:6" x14ac:dyDescent="0.25">
      <c r="A91" s="1">
        <v>45958.522222222222</v>
      </c>
      <c r="B91" s="2" t="s">
        <v>15</v>
      </c>
      <c r="C91" s="5">
        <v>28.62</v>
      </c>
      <c r="D91" s="5">
        <v>51.12</v>
      </c>
      <c r="E91" s="6">
        <v>0.55984</v>
      </c>
      <c r="F91" s="2" t="s">
        <v>38</v>
      </c>
    </row>
    <row r="92" spans="1:6" x14ac:dyDescent="0.25">
      <c r="A92" s="1">
        <v>45958.522222222222</v>
      </c>
      <c r="B92" s="2" t="s">
        <v>17</v>
      </c>
      <c r="C92" s="5">
        <v>27.36</v>
      </c>
      <c r="D92" s="5">
        <v>465.39</v>
      </c>
      <c r="E92" s="6">
        <v>5.8790000000000002E-2</v>
      </c>
      <c r="F92" s="2" t="s">
        <v>38</v>
      </c>
    </row>
    <row r="93" spans="1:6" x14ac:dyDescent="0.25">
      <c r="A93" s="1">
        <v>45958.529166666667</v>
      </c>
      <c r="B93" s="2" t="s">
        <v>53</v>
      </c>
      <c r="C93" s="5">
        <v>166.64</v>
      </c>
      <c r="D93" s="5">
        <v>55.54</v>
      </c>
      <c r="E93" s="6">
        <v>3</v>
      </c>
      <c r="F93" s="2" t="s">
        <v>7</v>
      </c>
    </row>
    <row r="94" spans="1:6" x14ac:dyDescent="0.25">
      <c r="A94" s="1">
        <v>45965.642361111109</v>
      </c>
      <c r="B94" s="2" t="s">
        <v>6</v>
      </c>
      <c r="C94" s="5">
        <v>106.52</v>
      </c>
      <c r="D94" s="5">
        <v>57.69</v>
      </c>
      <c r="E94" s="6">
        <v>1.84</v>
      </c>
      <c r="F94" s="2" t="s">
        <v>7</v>
      </c>
    </row>
    <row r="95" spans="1:6" x14ac:dyDescent="0.25">
      <c r="A95" s="1">
        <v>45974.67291666667</v>
      </c>
      <c r="B95" s="2" t="s">
        <v>6</v>
      </c>
      <c r="C95" s="5">
        <v>39.07</v>
      </c>
      <c r="D95" s="5">
        <v>55.85</v>
      </c>
      <c r="E95" s="6">
        <v>0.69955000000000001</v>
      </c>
      <c r="F95" s="2" t="s">
        <v>7</v>
      </c>
    </row>
    <row r="96" spans="1:6" x14ac:dyDescent="0.25">
      <c r="A96" s="1">
        <v>46002</v>
      </c>
      <c r="B96" s="2" t="s">
        <v>12</v>
      </c>
      <c r="C96" s="5">
        <v>499.99</v>
      </c>
      <c r="D96" s="5">
        <v>685.2</v>
      </c>
      <c r="E96" s="6">
        <v>0.72970000000000002</v>
      </c>
      <c r="F96" s="2" t="s">
        <v>7</v>
      </c>
    </row>
    <row r="97" spans="1:6" x14ac:dyDescent="0.25">
      <c r="A97" s="1">
        <v>46002.439583333333</v>
      </c>
      <c r="B97" s="2" t="s">
        <v>34</v>
      </c>
      <c r="C97" s="5">
        <v>85.87</v>
      </c>
      <c r="D97" s="5">
        <v>41.27</v>
      </c>
      <c r="E97" s="6">
        <v>2.08</v>
      </c>
      <c r="F97" s="2" t="s">
        <v>7</v>
      </c>
    </row>
    <row r="98" spans="1:6" x14ac:dyDescent="0.25">
      <c r="A98" s="1">
        <v>46002.443749999999</v>
      </c>
      <c r="B98" s="2" t="s">
        <v>6</v>
      </c>
      <c r="C98" s="5">
        <v>123.81</v>
      </c>
      <c r="D98" s="5">
        <v>51.34</v>
      </c>
      <c r="E98" s="6">
        <v>2.41</v>
      </c>
      <c r="F98" s="2" t="s">
        <v>7</v>
      </c>
    </row>
    <row r="99" spans="1:6" x14ac:dyDescent="0.25">
      <c r="A99" s="1">
        <v>46002.446527777778</v>
      </c>
      <c r="B99" s="2" t="s">
        <v>8</v>
      </c>
      <c r="C99" s="5">
        <v>163.26</v>
      </c>
      <c r="D99" s="5">
        <v>24.08</v>
      </c>
      <c r="E99" s="6">
        <v>6.77</v>
      </c>
      <c r="F99" s="2" t="s">
        <v>7</v>
      </c>
    </row>
    <row r="100" spans="1:6" x14ac:dyDescent="0.25">
      <c r="A100" s="1">
        <v>46008.648611111108</v>
      </c>
      <c r="B100" s="2" t="s">
        <v>8</v>
      </c>
      <c r="C100" s="5">
        <v>42.24</v>
      </c>
      <c r="D100" s="5">
        <v>21.11</v>
      </c>
      <c r="E100" s="6">
        <v>2</v>
      </c>
      <c r="F100" s="2" t="s">
        <v>7</v>
      </c>
    </row>
    <row r="101" spans="1:6" x14ac:dyDescent="0.25">
      <c r="A101" s="1">
        <v>46008.650694444441</v>
      </c>
      <c r="B101" s="2" t="s">
        <v>6</v>
      </c>
      <c r="C101" s="5">
        <v>87.04</v>
      </c>
      <c r="D101" s="5">
        <v>48.49</v>
      </c>
      <c r="E101" s="6">
        <v>1.79</v>
      </c>
      <c r="F101" s="2" t="s">
        <v>7</v>
      </c>
    </row>
    <row r="102" spans="1:6" x14ac:dyDescent="0.25">
      <c r="A102" s="1">
        <v>46020.463888888888</v>
      </c>
      <c r="B102" s="2" t="s">
        <v>46</v>
      </c>
      <c r="C102" s="5">
        <v>59.64</v>
      </c>
      <c r="D102" s="5">
        <v>59.54</v>
      </c>
      <c r="E102" s="6">
        <v>1</v>
      </c>
      <c r="F102" s="2" t="s">
        <v>38</v>
      </c>
    </row>
    <row r="103" spans="1:6" x14ac:dyDescent="0.25">
      <c r="A103" s="1">
        <v>46021.472916666666</v>
      </c>
      <c r="B103" s="2" t="s">
        <v>16</v>
      </c>
      <c r="C103" s="5">
        <v>56.4</v>
      </c>
      <c r="D103" s="5">
        <v>5.69</v>
      </c>
      <c r="E103" s="6">
        <v>9.9</v>
      </c>
      <c r="F103" s="2" t="s">
        <v>7</v>
      </c>
    </row>
    <row r="104" spans="1:6" x14ac:dyDescent="0.25">
      <c r="A104" s="1">
        <v>46027.567361111112</v>
      </c>
      <c r="B104" s="2" t="s">
        <v>45</v>
      </c>
      <c r="C104" s="5">
        <v>17.54</v>
      </c>
      <c r="D104" s="5">
        <v>0.44</v>
      </c>
      <c r="E104" s="6">
        <v>39.246000000000002</v>
      </c>
      <c r="F104" s="2" t="s">
        <v>38</v>
      </c>
    </row>
    <row r="105" spans="1:6" x14ac:dyDescent="0.25">
      <c r="A105" s="1">
        <v>46027.568055555559</v>
      </c>
      <c r="B105" s="2" t="s">
        <v>22</v>
      </c>
      <c r="C105" s="5">
        <v>31.01</v>
      </c>
      <c r="D105" s="5">
        <v>233.54</v>
      </c>
      <c r="E105" s="6">
        <v>0.13278000000000001</v>
      </c>
      <c r="F105" s="2" t="s">
        <v>38</v>
      </c>
    </row>
    <row r="106" spans="1:6" x14ac:dyDescent="0.25">
      <c r="A106" s="1">
        <v>46027.568749999999</v>
      </c>
      <c r="B106" s="2" t="s">
        <v>48</v>
      </c>
      <c r="C106" s="5">
        <v>36.840000000000003</v>
      </c>
      <c r="D106" s="5">
        <v>36.83</v>
      </c>
      <c r="E106" s="6">
        <v>1</v>
      </c>
      <c r="F106" s="2" t="s">
        <v>38</v>
      </c>
    </row>
    <row r="107" spans="1:6" x14ac:dyDescent="0.25">
      <c r="A107" s="1">
        <v>46029.449305555558</v>
      </c>
      <c r="B107" s="2" t="s">
        <v>24</v>
      </c>
      <c r="C107" s="5">
        <v>107.56</v>
      </c>
      <c r="D107" s="5">
        <v>100.39</v>
      </c>
      <c r="E107" s="6">
        <v>1.07</v>
      </c>
      <c r="F107" s="2" t="s">
        <v>38</v>
      </c>
    </row>
    <row r="108" spans="1:6" x14ac:dyDescent="0.25">
      <c r="A108" s="1">
        <v>46034.47152777778</v>
      </c>
      <c r="B108" s="2" t="s">
        <v>42</v>
      </c>
      <c r="C108" s="5">
        <v>184.51</v>
      </c>
      <c r="D108" s="5">
        <v>625.9</v>
      </c>
      <c r="E108" s="6">
        <v>0.29479</v>
      </c>
      <c r="F108" s="2" t="s">
        <v>38</v>
      </c>
    </row>
    <row r="109" spans="1:6" x14ac:dyDescent="0.25">
      <c r="A109" s="1">
        <v>46034.47152777778</v>
      </c>
      <c r="B109" s="2" t="s">
        <v>9</v>
      </c>
      <c r="C109" s="5">
        <v>428.25</v>
      </c>
      <c r="D109" s="5">
        <v>342</v>
      </c>
      <c r="E109" s="6">
        <v>1.25</v>
      </c>
      <c r="F109" s="2" t="s">
        <v>38</v>
      </c>
    </row>
    <row r="110" spans="1:6" x14ac:dyDescent="0.25">
      <c r="A110" s="1">
        <v>46035.44027777778</v>
      </c>
      <c r="B110" s="2" t="s">
        <v>34</v>
      </c>
      <c r="C110" s="5">
        <v>262</v>
      </c>
      <c r="D110" s="5">
        <v>49.47</v>
      </c>
      <c r="E110" s="6">
        <v>5.29</v>
      </c>
      <c r="F110" s="2" t="s">
        <v>7</v>
      </c>
    </row>
    <row r="111" spans="1:6" x14ac:dyDescent="0.25">
      <c r="A111" s="1">
        <v>46035.441666666666</v>
      </c>
      <c r="B111" s="2" t="s">
        <v>52</v>
      </c>
      <c r="C111" s="5">
        <v>276</v>
      </c>
      <c r="D111" s="5">
        <v>56.67</v>
      </c>
      <c r="E111" s="6">
        <v>4.8600000000000003</v>
      </c>
      <c r="F111" s="2" t="s">
        <v>7</v>
      </c>
    </row>
    <row r="112" spans="1:6" x14ac:dyDescent="0.25">
      <c r="A112" s="1">
        <v>46036.448611111111</v>
      </c>
      <c r="B112" s="2" t="s">
        <v>54</v>
      </c>
      <c r="C112" s="5">
        <v>269.58999999999997</v>
      </c>
      <c r="D112" s="5">
        <v>183.13</v>
      </c>
      <c r="E112" s="6">
        <v>1.47</v>
      </c>
      <c r="F112" s="2" t="s">
        <v>7</v>
      </c>
    </row>
    <row r="113" spans="1:6" x14ac:dyDescent="0.25">
      <c r="A113" s="1">
        <v>46042.44027777778</v>
      </c>
      <c r="B113" s="2" t="s">
        <v>33</v>
      </c>
      <c r="C113" s="5">
        <v>300</v>
      </c>
      <c r="D113" s="5">
        <v>27.75</v>
      </c>
      <c r="E113" s="6">
        <v>10.81</v>
      </c>
      <c r="F113" s="2" t="s">
        <v>7</v>
      </c>
    </row>
    <row r="114" spans="1:6" x14ac:dyDescent="0.25">
      <c r="A114" s="1">
        <v>46042.441666666666</v>
      </c>
      <c r="B114" s="2" t="s">
        <v>13</v>
      </c>
      <c r="C114" s="5">
        <v>300</v>
      </c>
      <c r="D114" s="5">
        <v>14.93</v>
      </c>
      <c r="E114" s="6">
        <v>20.09</v>
      </c>
      <c r="F114" s="2" t="s">
        <v>7</v>
      </c>
    </row>
    <row r="115" spans="1:6" x14ac:dyDescent="0.25">
      <c r="A115" s="1">
        <v>46042.45</v>
      </c>
      <c r="B115" s="2" t="s">
        <v>55</v>
      </c>
      <c r="C115" s="5">
        <v>376.94</v>
      </c>
      <c r="D115" s="5">
        <v>376.93</v>
      </c>
      <c r="E115" s="6">
        <v>1</v>
      </c>
      <c r="F115" s="2" t="s">
        <v>7</v>
      </c>
    </row>
    <row r="116" spans="1:6" x14ac:dyDescent="0.25">
      <c r="A116" s="1">
        <v>46044.496527777781</v>
      </c>
      <c r="B116" s="2" t="s">
        <v>6</v>
      </c>
      <c r="C116" s="5">
        <v>499.32</v>
      </c>
      <c r="D116" s="5">
        <v>50.4</v>
      </c>
      <c r="E116" s="6">
        <v>9.9</v>
      </c>
      <c r="F116" s="2" t="s">
        <v>38</v>
      </c>
    </row>
    <row r="117" spans="1:6" x14ac:dyDescent="0.25">
      <c r="A117" s="1">
        <v>46044.496527777781</v>
      </c>
      <c r="B117" s="2" t="s">
        <v>41</v>
      </c>
      <c r="C117" s="5">
        <v>59.02</v>
      </c>
      <c r="D117" s="5">
        <v>127.23</v>
      </c>
      <c r="E117" s="6">
        <f>D117/C117</f>
        <v>2.1557099288376822</v>
      </c>
      <c r="F117" s="2" t="s">
        <v>38</v>
      </c>
    </row>
    <row r="118" spans="1:6" x14ac:dyDescent="0.25">
      <c r="A118" s="1">
        <v>46044.49722222222</v>
      </c>
      <c r="B118" s="2" t="s">
        <v>8</v>
      </c>
      <c r="C118" s="5">
        <v>335.17</v>
      </c>
      <c r="D118" s="5">
        <v>22.18</v>
      </c>
      <c r="E118" s="6">
        <v>15.11</v>
      </c>
      <c r="F118" s="2" t="s">
        <v>38</v>
      </c>
    </row>
    <row r="119" spans="1:6" x14ac:dyDescent="0.25">
      <c r="A119" s="1">
        <v>46045.445833333331</v>
      </c>
      <c r="B119" s="2" t="s">
        <v>56</v>
      </c>
      <c r="C119" s="5">
        <v>400</v>
      </c>
      <c r="D119" s="5">
        <v>70</v>
      </c>
      <c r="E119" s="6">
        <v>5.71</v>
      </c>
      <c r="F119" s="2" t="s">
        <v>7</v>
      </c>
    </row>
    <row r="120" spans="1:6" x14ac:dyDescent="0.25">
      <c r="A120" s="1">
        <v>46045.493055555555</v>
      </c>
      <c r="B120" s="2" t="s">
        <v>19</v>
      </c>
      <c r="C120" s="5">
        <v>515.05999999999995</v>
      </c>
      <c r="D120" s="5">
        <v>659.79</v>
      </c>
      <c r="E120" s="6">
        <v>0.78064</v>
      </c>
      <c r="F120" s="2" t="s">
        <v>7</v>
      </c>
    </row>
    <row r="121" spans="1:6" x14ac:dyDescent="0.25">
      <c r="A121" s="1">
        <v>46048.572222222225</v>
      </c>
      <c r="B121" s="2" t="s">
        <v>35</v>
      </c>
      <c r="C121" s="5">
        <v>322.73</v>
      </c>
      <c r="D121" s="5">
        <v>80.680000000000007</v>
      </c>
      <c r="E121" s="6">
        <v>4</v>
      </c>
      <c r="F121" s="2" t="s">
        <v>38</v>
      </c>
    </row>
    <row r="122" spans="1:6" x14ac:dyDescent="0.25">
      <c r="A122" s="1">
        <v>46049.448611111111</v>
      </c>
      <c r="B122" s="2" t="s">
        <v>57</v>
      </c>
      <c r="C122" s="5">
        <v>322.47000000000003</v>
      </c>
      <c r="D122" s="5">
        <v>89.38</v>
      </c>
      <c r="E122" s="6">
        <v>3.6</v>
      </c>
      <c r="F122" s="2" t="s">
        <v>7</v>
      </c>
    </row>
    <row r="123" spans="1:6" x14ac:dyDescent="0.25">
      <c r="A123" s="1">
        <v>46050.563888888886</v>
      </c>
      <c r="B123" s="2" t="s">
        <v>54</v>
      </c>
      <c r="C123" s="5">
        <v>234.4</v>
      </c>
      <c r="D123" s="5">
        <v>159.22999999999999</v>
      </c>
      <c r="E123" s="6">
        <v>1.47</v>
      </c>
      <c r="F123" s="2" t="s">
        <v>38</v>
      </c>
    </row>
    <row r="124" spans="1:6" x14ac:dyDescent="0.25">
      <c r="A124" s="1">
        <v>46055.650694444441</v>
      </c>
      <c r="B124" s="2" t="s">
        <v>19</v>
      </c>
      <c r="C124" s="5">
        <v>649.35</v>
      </c>
      <c r="D124" s="5">
        <v>711.77</v>
      </c>
      <c r="E124" s="6">
        <v>0.91229000000000005</v>
      </c>
      <c r="F124" s="2" t="s">
        <v>38</v>
      </c>
    </row>
    <row r="125" spans="1:6" x14ac:dyDescent="0.25">
      <c r="A125" s="1">
        <v>46055.652083333334</v>
      </c>
      <c r="B125" s="2" t="s">
        <v>16</v>
      </c>
      <c r="C125" s="5">
        <v>234.14</v>
      </c>
      <c r="D125" s="5">
        <v>4.96</v>
      </c>
      <c r="E125" s="6">
        <v>47.2</v>
      </c>
      <c r="F125" s="2" t="s">
        <v>7</v>
      </c>
    </row>
    <row r="126" spans="1:6" x14ac:dyDescent="0.25">
      <c r="A126" s="1">
        <v>46059</v>
      </c>
      <c r="B126" s="2" t="s">
        <v>53</v>
      </c>
      <c r="C126" s="5">
        <v>649.04</v>
      </c>
      <c r="D126" s="5">
        <v>59.58</v>
      </c>
      <c r="E126" s="6">
        <v>10.89</v>
      </c>
      <c r="F126" s="2" t="s">
        <v>7</v>
      </c>
    </row>
    <row r="127" spans="1:6" x14ac:dyDescent="0.25">
      <c r="A127" s="1">
        <v>46083.456250000003</v>
      </c>
      <c r="B127" s="2" t="s">
        <v>58</v>
      </c>
      <c r="C127" s="5">
        <v>480.63</v>
      </c>
      <c r="D127" s="5">
        <v>160.21</v>
      </c>
      <c r="E127" s="6">
        <v>3</v>
      </c>
      <c r="F127" s="2" t="s">
        <v>7</v>
      </c>
    </row>
    <row r="128" spans="1:6" x14ac:dyDescent="0.25">
      <c r="A128" s="1">
        <v>46086</v>
      </c>
      <c r="B128" s="2" t="s">
        <v>27</v>
      </c>
      <c r="C128" s="5">
        <v>175.04</v>
      </c>
      <c r="D128" s="5">
        <v>98.34</v>
      </c>
      <c r="E128" s="6">
        <v>1.7799471222290013</v>
      </c>
      <c r="F128" s="2" t="s">
        <v>7</v>
      </c>
    </row>
    <row r="129" spans="1:6" x14ac:dyDescent="0.25">
      <c r="A129" s="1">
        <v>46087</v>
      </c>
      <c r="B129" s="2" t="s">
        <v>56</v>
      </c>
      <c r="C129" s="5">
        <v>462.97</v>
      </c>
      <c r="D129" s="5">
        <v>81.02</v>
      </c>
      <c r="E129" s="6">
        <v>5.7142799999999996</v>
      </c>
      <c r="F129" s="2" t="s">
        <v>38</v>
      </c>
    </row>
    <row r="130" spans="1:6" x14ac:dyDescent="0.25">
      <c r="A130" s="1">
        <v>46087</v>
      </c>
      <c r="B130" s="2" t="s">
        <v>34</v>
      </c>
      <c r="C130" s="5">
        <v>467.44</v>
      </c>
      <c r="D130" s="5">
        <v>45.39</v>
      </c>
      <c r="E130" s="6">
        <v>10.297129999999999</v>
      </c>
      <c r="F130" s="2" t="s">
        <v>38</v>
      </c>
    </row>
    <row r="131" spans="1:6" x14ac:dyDescent="0.25">
      <c r="A131" s="1">
        <v>46087</v>
      </c>
      <c r="B131" s="2" t="s">
        <v>57</v>
      </c>
      <c r="C131" s="5">
        <v>291.45999999999998</v>
      </c>
      <c r="D131" s="5">
        <v>80.78</v>
      </c>
      <c r="E131" s="6">
        <v>3.60785</v>
      </c>
      <c r="F131" s="2" t="s">
        <v>38</v>
      </c>
    </row>
    <row r="132" spans="1:6" x14ac:dyDescent="0.25">
      <c r="A132" s="1">
        <v>46087</v>
      </c>
      <c r="B132" s="2" t="s">
        <v>13</v>
      </c>
      <c r="C132" s="5">
        <v>333.26</v>
      </c>
      <c r="D132" s="5">
        <v>16.579999999999998</v>
      </c>
      <c r="E132" s="6">
        <v>20.037700000000001</v>
      </c>
      <c r="F132" s="2" t="s">
        <v>38</v>
      </c>
    </row>
    <row r="133" spans="1:6" x14ac:dyDescent="0.25">
      <c r="A133" s="1">
        <v>46087</v>
      </c>
      <c r="B133" s="2" t="s">
        <v>21</v>
      </c>
      <c r="C133" s="5">
        <v>599.1</v>
      </c>
      <c r="D133" s="5">
        <v>299.41000000000003</v>
      </c>
      <c r="E133" s="6">
        <v>2.0009399999999999</v>
      </c>
      <c r="F133" s="2" t="s">
        <v>38</v>
      </c>
    </row>
    <row r="134" spans="1:6" x14ac:dyDescent="0.25">
      <c r="A134" s="1">
        <v>46087</v>
      </c>
      <c r="B134" s="2" t="s">
        <v>33</v>
      </c>
      <c r="C134" s="5">
        <v>222.54</v>
      </c>
      <c r="D134" s="5">
        <v>20.58</v>
      </c>
      <c r="E134" s="6">
        <v>10.81081</v>
      </c>
      <c r="F134" s="2" t="s">
        <v>38</v>
      </c>
    </row>
    <row r="135" spans="1:6" x14ac:dyDescent="0.25">
      <c r="A135" s="1">
        <v>46087</v>
      </c>
      <c r="B135" s="2" t="s">
        <v>52</v>
      </c>
      <c r="C135" s="5">
        <v>525.9</v>
      </c>
      <c r="D135" s="5">
        <v>59.68</v>
      </c>
      <c r="E135" s="6">
        <v>8.8120799999999999</v>
      </c>
      <c r="F135" s="2" t="s">
        <v>38</v>
      </c>
    </row>
    <row r="136" spans="1:6" x14ac:dyDescent="0.25">
      <c r="A136" s="1">
        <v>46090</v>
      </c>
      <c r="B136" s="2" t="s">
        <v>53</v>
      </c>
      <c r="C136" s="5">
        <v>790.6</v>
      </c>
      <c r="D136" s="5">
        <v>56.79</v>
      </c>
      <c r="E136" s="6">
        <v>13.9215</v>
      </c>
      <c r="F136" s="2" t="s">
        <v>38</v>
      </c>
    </row>
    <row r="137" spans="1:6" x14ac:dyDescent="0.25">
      <c r="A137" s="1">
        <v>46090</v>
      </c>
      <c r="B137" s="2" t="s">
        <v>12</v>
      </c>
      <c r="C137" s="5">
        <v>1113.31</v>
      </c>
      <c r="D137" s="5">
        <v>677.47</v>
      </c>
      <c r="E137" s="6">
        <v>1.6433199999999999</v>
      </c>
      <c r="F137" s="2" t="s">
        <v>7</v>
      </c>
    </row>
    <row r="138" spans="1:6" x14ac:dyDescent="0.25">
      <c r="A138" s="1">
        <v>46090</v>
      </c>
      <c r="B138" s="2" t="s">
        <v>27</v>
      </c>
      <c r="C138" s="5">
        <v>788</v>
      </c>
      <c r="D138" s="5">
        <v>116.55</v>
      </c>
      <c r="E138" s="6">
        <v>6.7617500000000001</v>
      </c>
      <c r="F138" s="2" t="s">
        <v>7</v>
      </c>
    </row>
    <row r="139" spans="1:6" x14ac:dyDescent="0.25">
      <c r="A139" s="1">
        <v>46090</v>
      </c>
      <c r="B139" s="2" t="s">
        <v>59</v>
      </c>
      <c r="C139" s="5">
        <v>500</v>
      </c>
      <c r="D139" s="5">
        <v>63.36</v>
      </c>
      <c r="E139" s="6">
        <v>7.89</v>
      </c>
      <c r="F139" s="2" t="s">
        <v>7</v>
      </c>
    </row>
    <row r="140" spans="1:6" x14ac:dyDescent="0.25">
      <c r="A140" s="1">
        <v>46090</v>
      </c>
      <c r="B140" s="2" t="s">
        <v>60</v>
      </c>
      <c r="C140" s="5">
        <v>500</v>
      </c>
      <c r="D140" s="5">
        <v>37.89</v>
      </c>
      <c r="E140" s="6">
        <v>13.19</v>
      </c>
      <c r="F140" s="2" t="s">
        <v>7</v>
      </c>
    </row>
    <row r="141" spans="1:6" x14ac:dyDescent="0.25">
      <c r="A141" s="1">
        <v>46091</v>
      </c>
      <c r="B141" s="2" t="s">
        <v>55</v>
      </c>
      <c r="C141" s="5">
        <v>590</v>
      </c>
      <c r="D141" s="5">
        <v>409.79</v>
      </c>
      <c r="E141" s="6">
        <v>1.43988</v>
      </c>
      <c r="F141" s="2" t="s">
        <v>7</v>
      </c>
    </row>
    <row r="142" spans="1:6" x14ac:dyDescent="0.25">
      <c r="A142" s="1">
        <v>46091</v>
      </c>
      <c r="B142" s="2" t="s">
        <v>61</v>
      </c>
      <c r="C142" s="5">
        <v>450.15</v>
      </c>
      <c r="D142" s="5">
        <v>90.02</v>
      </c>
      <c r="E142" s="6">
        <v>5</v>
      </c>
      <c r="F142" s="2" t="s">
        <v>7</v>
      </c>
    </row>
    <row r="143" spans="1:6" x14ac:dyDescent="0.25">
      <c r="A143" s="1">
        <v>46091</v>
      </c>
      <c r="B143" s="2" t="s">
        <v>58</v>
      </c>
      <c r="C143" s="5">
        <v>476.34</v>
      </c>
      <c r="D143" s="5">
        <v>158.78</v>
      </c>
      <c r="E143" s="6">
        <v>3</v>
      </c>
      <c r="F143" s="2" t="s">
        <v>38</v>
      </c>
    </row>
    <row r="144" spans="1:6" x14ac:dyDescent="0.25">
      <c r="A144" s="1">
        <v>46091</v>
      </c>
      <c r="B144" s="2" t="s">
        <v>59</v>
      </c>
      <c r="C144" s="5">
        <v>466.86</v>
      </c>
      <c r="D144" s="5">
        <v>59.16</v>
      </c>
      <c r="E144" s="6">
        <v>7.89079</v>
      </c>
      <c r="F144" s="2" t="s">
        <v>38</v>
      </c>
    </row>
    <row r="145" spans="1:6" x14ac:dyDescent="0.25">
      <c r="A145" s="1">
        <v>46091</v>
      </c>
      <c r="B145" s="2" t="s">
        <v>60</v>
      </c>
      <c r="C145" s="5">
        <v>489.57</v>
      </c>
      <c r="D145" s="5">
        <v>37.1</v>
      </c>
      <c r="E145" s="6">
        <v>13.19</v>
      </c>
      <c r="F145" s="2" t="s">
        <v>38</v>
      </c>
    </row>
    <row r="146" spans="1:6" x14ac:dyDescent="0.25">
      <c r="A146" s="1">
        <v>46092</v>
      </c>
      <c r="B146" s="2" t="s">
        <v>6</v>
      </c>
      <c r="C146" s="5">
        <v>1000</v>
      </c>
      <c r="D146" s="5">
        <v>40.119900000000001</v>
      </c>
      <c r="E146" s="6">
        <v>24.925280000000001</v>
      </c>
      <c r="F146" s="2" t="s">
        <v>7</v>
      </c>
    </row>
    <row r="147" spans="1:6" x14ac:dyDescent="0.25">
      <c r="A147" s="1">
        <v>46100</v>
      </c>
      <c r="B147" s="2" t="s">
        <v>61</v>
      </c>
      <c r="C147" s="5">
        <f>D147*E147</f>
        <v>357.59999999999997</v>
      </c>
      <c r="D147" s="5">
        <v>71.52</v>
      </c>
      <c r="E147" s="6">
        <v>5</v>
      </c>
      <c r="F147" s="2" t="s">
        <v>38</v>
      </c>
    </row>
    <row r="148" spans="1:6" x14ac:dyDescent="0.25">
      <c r="A148" s="1">
        <v>46100</v>
      </c>
      <c r="B148" s="2" t="s">
        <v>59</v>
      </c>
      <c r="C148" s="5">
        <v>534.99</v>
      </c>
      <c r="D148" s="5">
        <v>74.150000000000006</v>
      </c>
      <c r="E148" s="6">
        <v>7.2149599999999996</v>
      </c>
      <c r="F148" s="2" t="s">
        <v>7</v>
      </c>
    </row>
    <row r="149" spans="1:6" x14ac:dyDescent="0.25">
      <c r="A149" s="1">
        <v>46113</v>
      </c>
      <c r="B149" s="2" t="s">
        <v>61</v>
      </c>
      <c r="C149" s="5">
        <v>500</v>
      </c>
      <c r="D149" s="5">
        <v>83.33</v>
      </c>
      <c r="E149" s="6">
        <v>6.0002399999999998</v>
      </c>
      <c r="F149" s="2" t="s">
        <v>7</v>
      </c>
    </row>
    <row r="150" spans="1:6" x14ac:dyDescent="0.25">
      <c r="A150" s="1">
        <v>46113</v>
      </c>
      <c r="B150" s="2" t="s">
        <v>27</v>
      </c>
      <c r="C150" s="5">
        <v>1054.31</v>
      </c>
      <c r="D150" s="5">
        <v>123.39</v>
      </c>
      <c r="E150" s="6">
        <v>8.5441699999999994</v>
      </c>
      <c r="F150" s="2" t="s">
        <v>38</v>
      </c>
    </row>
    <row r="151" spans="1:6" x14ac:dyDescent="0.25">
      <c r="A151" s="1">
        <v>46113</v>
      </c>
      <c r="B151" s="2" t="s">
        <v>59</v>
      </c>
      <c r="C151" s="5">
        <v>515.58000000000004</v>
      </c>
      <c r="D151" s="5">
        <v>71.459999999999994</v>
      </c>
      <c r="E151" s="6">
        <v>7.2149599999999996</v>
      </c>
      <c r="F151" s="2" t="s">
        <v>38</v>
      </c>
    </row>
    <row r="152" spans="1:6" x14ac:dyDescent="0.25">
      <c r="A152" s="1">
        <v>46114</v>
      </c>
      <c r="B152" s="2" t="s">
        <v>18</v>
      </c>
      <c r="C152" s="5">
        <v>715.9</v>
      </c>
      <c r="D152" s="5">
        <v>371.51</v>
      </c>
      <c r="E152" s="6">
        <v>1.927</v>
      </c>
      <c r="F152" s="2" t="s">
        <v>7</v>
      </c>
    </row>
    <row r="153" spans="1:6" x14ac:dyDescent="0.25">
      <c r="A153" s="1">
        <v>46128</v>
      </c>
      <c r="B153" s="2" t="s">
        <v>62</v>
      </c>
      <c r="C153" s="5">
        <v>638.77</v>
      </c>
      <c r="D153" s="5">
        <v>86.03</v>
      </c>
      <c r="E153" s="6">
        <v>7.42</v>
      </c>
      <c r="F153" s="2" t="s">
        <v>7</v>
      </c>
    </row>
    <row r="154" spans="1:6" x14ac:dyDescent="0.25">
      <c r="A154" s="1">
        <v>46128</v>
      </c>
      <c r="B154" s="2" t="s">
        <v>43</v>
      </c>
      <c r="C154" s="5">
        <v>525.80999999999995</v>
      </c>
      <c r="D154" s="5">
        <v>175.27</v>
      </c>
      <c r="E154" s="6">
        <v>3</v>
      </c>
      <c r="F154" s="2" t="s">
        <v>7</v>
      </c>
    </row>
    <row r="155" spans="1:6" x14ac:dyDescent="0.25">
      <c r="A155" s="1">
        <v>46113</v>
      </c>
      <c r="B155" s="2" t="s">
        <v>16</v>
      </c>
      <c r="C155" s="5">
        <v>353.72</v>
      </c>
      <c r="D155" s="5">
        <v>4.78</v>
      </c>
      <c r="E155" s="6">
        <v>74</v>
      </c>
      <c r="F155" s="2" t="s">
        <v>7</v>
      </c>
    </row>
    <row r="156" spans="1:6" x14ac:dyDescent="0.25">
      <c r="A156" s="1">
        <v>46113</v>
      </c>
      <c r="B156" s="2" t="s">
        <v>61</v>
      </c>
      <c r="C156" s="5">
        <v>500</v>
      </c>
      <c r="D156" s="5">
        <v>83.33</v>
      </c>
      <c r="E156" s="6">
        <v>6</v>
      </c>
      <c r="F156" s="2" t="s">
        <v>7</v>
      </c>
    </row>
    <row r="157" spans="1:6" x14ac:dyDescent="0.25">
      <c r="A157" s="1">
        <v>46114</v>
      </c>
      <c r="B157" s="2" t="s">
        <v>18</v>
      </c>
      <c r="C157" s="5">
        <v>715.9</v>
      </c>
      <c r="D157" s="5">
        <v>375.51</v>
      </c>
      <c r="E157" s="6">
        <v>1.92</v>
      </c>
      <c r="F157" s="2" t="s">
        <v>7</v>
      </c>
    </row>
    <row r="158" spans="1:6" x14ac:dyDescent="0.25">
      <c r="A158" s="1">
        <v>46128</v>
      </c>
      <c r="B158" s="2" t="s">
        <v>43</v>
      </c>
      <c r="C158" s="5">
        <v>525.80999999999995</v>
      </c>
      <c r="D158" s="5">
        <v>175.27</v>
      </c>
      <c r="E158" s="6">
        <v>3</v>
      </c>
      <c r="F158" s="2" t="s">
        <v>7</v>
      </c>
    </row>
    <row r="159" spans="1:6" x14ac:dyDescent="0.25">
      <c r="A159" s="1">
        <v>46128</v>
      </c>
      <c r="B159" s="2" t="s">
        <v>62</v>
      </c>
      <c r="C159" s="5">
        <v>638.77</v>
      </c>
      <c r="D159" s="5">
        <v>86.03</v>
      </c>
      <c r="E159" s="6">
        <v>7.42</v>
      </c>
      <c r="F159" s="2" t="s">
        <v>7</v>
      </c>
    </row>
    <row r="160" spans="1:6" x14ac:dyDescent="0.25">
      <c r="A160" s="1">
        <v>46150</v>
      </c>
      <c r="B160" s="2" t="s">
        <v>16</v>
      </c>
      <c r="C160" s="5">
        <f t="shared" ref="C160:C174" si="3">D160*E160</f>
        <v>35.110199999999999</v>
      </c>
      <c r="D160" s="5">
        <v>7.18</v>
      </c>
      <c r="E160" s="6">
        <v>4.8899999999999997</v>
      </c>
      <c r="F160" s="2" t="s">
        <v>7</v>
      </c>
    </row>
    <row r="161" spans="1:6" x14ac:dyDescent="0.25">
      <c r="A161" s="1">
        <v>46153</v>
      </c>
      <c r="B161" s="2" t="s">
        <v>63</v>
      </c>
      <c r="C161" s="5">
        <f t="shared" si="3"/>
        <v>599.44879999999989</v>
      </c>
      <c r="D161" s="5">
        <v>6.52</v>
      </c>
      <c r="E161" s="6">
        <v>91.94</v>
      </c>
      <c r="F161" s="2" t="s">
        <v>7</v>
      </c>
    </row>
    <row r="162" spans="1:6" x14ac:dyDescent="0.25">
      <c r="A162" s="1">
        <v>46174</v>
      </c>
      <c r="B162" s="2" t="s">
        <v>6</v>
      </c>
      <c r="C162" s="5">
        <f t="shared" si="3"/>
        <v>1010.506</v>
      </c>
      <c r="D162" s="5">
        <v>40.549999999999997</v>
      </c>
      <c r="E162" s="6">
        <v>24.92</v>
      </c>
      <c r="F162" s="2" t="s">
        <v>38</v>
      </c>
    </row>
    <row r="163" spans="1:6" x14ac:dyDescent="0.25">
      <c r="A163" s="1">
        <v>46175</v>
      </c>
      <c r="B163" s="2" t="s">
        <v>64</v>
      </c>
      <c r="C163" s="5">
        <f t="shared" si="3"/>
        <v>578.17500000000007</v>
      </c>
      <c r="D163" s="5">
        <v>231.27</v>
      </c>
      <c r="E163" s="6">
        <v>2.5</v>
      </c>
      <c r="F163" s="2" t="s">
        <v>7</v>
      </c>
    </row>
    <row r="164" spans="1:6" x14ac:dyDescent="0.25">
      <c r="A164" s="1">
        <v>46175</v>
      </c>
      <c r="B164" s="2" t="s">
        <v>65</v>
      </c>
      <c r="C164" s="5">
        <f t="shared" si="3"/>
        <v>409.69400000000002</v>
      </c>
      <c r="D164" s="5">
        <v>103.72</v>
      </c>
      <c r="E164" s="6">
        <v>3.95</v>
      </c>
      <c r="F164" s="2" t="s">
        <v>7</v>
      </c>
    </row>
    <row r="165" spans="1:6" x14ac:dyDescent="0.25">
      <c r="A165" s="1">
        <v>46177</v>
      </c>
      <c r="B165" s="2" t="s">
        <v>55</v>
      </c>
      <c r="C165" s="5">
        <f t="shared" si="3"/>
        <v>2422.6028000000001</v>
      </c>
      <c r="D165" s="5">
        <v>992.87</v>
      </c>
      <c r="E165" s="6">
        <v>2.44</v>
      </c>
      <c r="F165" s="2" t="s">
        <v>38</v>
      </c>
    </row>
    <row r="166" spans="1:6" x14ac:dyDescent="0.25">
      <c r="A166" s="1">
        <v>46181</v>
      </c>
      <c r="B166" s="2" t="s">
        <v>66</v>
      </c>
      <c r="C166" s="5">
        <f t="shared" si="3"/>
        <v>999.24610000000007</v>
      </c>
      <c r="D166" s="5">
        <v>99.23</v>
      </c>
      <c r="E166" s="6">
        <v>10.07</v>
      </c>
      <c r="F166" s="2" t="s">
        <v>7</v>
      </c>
    </row>
    <row r="167" spans="1:6" x14ac:dyDescent="0.25">
      <c r="A167" s="1">
        <v>46181</v>
      </c>
      <c r="B167" s="2" t="s">
        <v>67</v>
      </c>
      <c r="C167" s="5">
        <f t="shared" si="3"/>
        <v>551.01</v>
      </c>
      <c r="D167" s="5">
        <v>183.67</v>
      </c>
      <c r="E167" s="6">
        <v>3</v>
      </c>
      <c r="F167" s="2" t="s">
        <v>7</v>
      </c>
    </row>
    <row r="168" spans="1:6" x14ac:dyDescent="0.25">
      <c r="A168" s="1">
        <v>46204</v>
      </c>
      <c r="B168" s="2" t="s">
        <v>18</v>
      </c>
      <c r="C168" s="5">
        <f t="shared" si="3"/>
        <v>890.0447999999999</v>
      </c>
      <c r="D168" s="5">
        <v>383.64</v>
      </c>
      <c r="E168" s="6">
        <v>2.3199999999999998</v>
      </c>
      <c r="F168" s="2" t="s">
        <v>7</v>
      </c>
    </row>
    <row r="169" spans="1:6" x14ac:dyDescent="0.25">
      <c r="A169" s="1">
        <v>46227</v>
      </c>
      <c r="B169" s="2" t="s">
        <v>67</v>
      </c>
      <c r="C169" s="5">
        <f t="shared" si="3"/>
        <v>483.54</v>
      </c>
      <c r="D169" s="5">
        <v>161.18</v>
      </c>
      <c r="E169" s="6">
        <v>3</v>
      </c>
      <c r="F169" s="2" t="s">
        <v>38</v>
      </c>
    </row>
    <row r="170" spans="1:6" x14ac:dyDescent="0.25">
      <c r="A170" s="1">
        <v>46230</v>
      </c>
      <c r="B170" s="2" t="s">
        <v>16</v>
      </c>
      <c r="C170" s="5">
        <f t="shared" si="3"/>
        <v>483.2516</v>
      </c>
      <c r="D170" s="5">
        <v>3.98</v>
      </c>
      <c r="E170" s="6">
        <v>121.42</v>
      </c>
      <c r="F170" s="2" t="s">
        <v>7</v>
      </c>
    </row>
    <row r="171" spans="1:6" x14ac:dyDescent="0.25">
      <c r="A171" s="1">
        <v>46231</v>
      </c>
      <c r="B171" s="2" t="s">
        <v>55</v>
      </c>
      <c r="C171" s="5">
        <f t="shared" si="3"/>
        <v>998.38700000000006</v>
      </c>
      <c r="D171" s="5">
        <v>818.35</v>
      </c>
      <c r="E171" s="6">
        <v>1.22</v>
      </c>
      <c r="F171" s="2" t="s">
        <v>7</v>
      </c>
    </row>
    <row r="172" spans="1:6" x14ac:dyDescent="0.25">
      <c r="A172" s="1">
        <v>46233</v>
      </c>
      <c r="B172" s="2" t="s">
        <v>64</v>
      </c>
      <c r="C172" s="5">
        <f t="shared" si="3"/>
        <v>580.77499999999998</v>
      </c>
      <c r="D172" s="5">
        <v>232.31</v>
      </c>
      <c r="E172" s="6">
        <v>2.5</v>
      </c>
      <c r="F172" s="2" t="s">
        <v>38</v>
      </c>
    </row>
    <row r="173" spans="1:6" x14ac:dyDescent="0.25">
      <c r="A173" s="1">
        <v>46233</v>
      </c>
      <c r="B173" s="2" t="s">
        <v>63</v>
      </c>
      <c r="C173" s="5">
        <f t="shared" si="3"/>
        <v>549.04999999999995</v>
      </c>
      <c r="D173" s="5">
        <v>109.81</v>
      </c>
      <c r="E173" s="6">
        <v>5</v>
      </c>
      <c r="F173" s="2" t="s">
        <v>7</v>
      </c>
    </row>
    <row r="174" spans="1:6" x14ac:dyDescent="0.25">
      <c r="A174" s="1">
        <v>46233</v>
      </c>
      <c r="B174" s="2" t="s">
        <v>43</v>
      </c>
      <c r="C174" s="5">
        <f t="shared" si="3"/>
        <v>633.54999999999995</v>
      </c>
      <c r="D174" s="5">
        <v>126.71</v>
      </c>
      <c r="E174" s="6">
        <v>5</v>
      </c>
      <c r="F174" s="2" t="s">
        <v>7</v>
      </c>
    </row>
  </sheetData>
  <autoFilter ref="A1:F155" xr:uid="{64184D08-D91B-1043-AEE3-17C45FED0F30}">
    <sortState xmlns:xlrd2="http://schemas.microsoft.com/office/spreadsheetml/2017/richdata2" ref="A2:F154">
      <sortCondition ref="A1:A1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new_logs</vt:lpstr>
      <vt:lpstr>logs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Rosa</dc:creator>
  <cp:keywords/>
  <dc:description/>
  <cp:lastModifiedBy>Johan Felix Rosa Perez</cp:lastModifiedBy>
  <cp:revision/>
  <dcterms:created xsi:type="dcterms:W3CDTF">2026-03-03T00:25:57Z</dcterms:created>
  <dcterms:modified xsi:type="dcterms:W3CDTF">2026-08-03T17:33:54Z</dcterms:modified>
  <cp:category/>
  <cp:contentStatus/>
</cp:coreProperties>
</file>